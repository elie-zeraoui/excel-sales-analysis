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Projects\Sales_Analysis_Project\"/>
    </mc:Choice>
  </mc:AlternateContent>
  <xr:revisionPtr revIDLastSave="0" documentId="13_ncr:1_{4AA0BBAD-C564-4862-86BE-21FAA5266831}" xr6:coauthVersionLast="47" xr6:coauthVersionMax="47" xr10:uidLastSave="{00000000-0000-0000-0000-000000000000}"/>
  <bookViews>
    <workbookView xWindow="-108" yWindow="-108" windowWidth="23256" windowHeight="12456" activeTab="2" xr2:uid="{6809D56B-C119-456E-940F-EBB656BF06AA}"/>
  </bookViews>
  <sheets>
    <sheet name="Raw_Data" sheetId="1" r:id="rId1"/>
    <sheet name="Clean_Data" sheetId="2" r:id="rId2"/>
    <sheet name="Pivot_Table1" sheetId="5" r:id="rId3"/>
    <sheet name="Pivot_Table2" sheetId="6" r:id="rId4"/>
    <sheet name="Dashboard" sheetId="4" r:id="rId5"/>
  </sheets>
  <definedNames>
    <definedName name="_xlnm._FilterDatabase" localSheetId="0" hidden="1">Raw_Data!$A$1:$O$51</definedName>
    <definedName name="Slicer_Clean_Category">#N/A</definedName>
    <definedName name="Slicer_Clean_Country">#N/A</definedName>
    <definedName name="Slicer_Clean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U6" i="6" l="1"/>
  <c r="U5" i="6"/>
  <c r="T6" i="6"/>
  <c r="T5" i="6"/>
  <c r="S13" i="6"/>
  <c r="E13" i="5"/>
  <c r="AB14"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3" i="2"/>
  <c r="M4" i="2"/>
  <c r="M5" i="2"/>
  <c r="M6" i="2"/>
  <c r="M2" i="2"/>
  <c r="AV3" i="2"/>
  <c r="AV4" i="2"/>
  <c r="AV5" i="2"/>
  <c r="AV6" i="2"/>
  <c r="AV7" i="2"/>
  <c r="AV8" i="2"/>
  <c r="AV9" i="2"/>
  <c r="AV10" i="2"/>
  <c r="AV11" i="2"/>
  <c r="AV12" i="2"/>
  <c r="AV13" i="2"/>
  <c r="AV14" i="2"/>
  <c r="AV15" i="2"/>
  <c r="AV16" i="2"/>
  <c r="AV17" i="2"/>
  <c r="AV18" i="2"/>
  <c r="AV19" i="2"/>
  <c r="AV20" i="2"/>
  <c r="AV21" i="2"/>
  <c r="AV22" i="2"/>
  <c r="AV23" i="2"/>
  <c r="AV24" i="2"/>
  <c r="AV25" i="2"/>
  <c r="AV26" i="2"/>
  <c r="AV27" i="2"/>
  <c r="AV28" i="2"/>
  <c r="AV29" i="2"/>
  <c r="AV30" i="2"/>
  <c r="AV31" i="2"/>
  <c r="AV32" i="2"/>
  <c r="AV33" i="2"/>
  <c r="AV34" i="2"/>
  <c r="AV35" i="2"/>
  <c r="AV36" i="2"/>
  <c r="AV37" i="2"/>
  <c r="AV38" i="2"/>
  <c r="AV39" i="2"/>
  <c r="AV40" i="2"/>
  <c r="AV41" i="2"/>
  <c r="AV42" i="2"/>
  <c r="AV43" i="2"/>
  <c r="AV44" i="2"/>
  <c r="AV45" i="2"/>
  <c r="AV46" i="2"/>
  <c r="AV47" i="2"/>
  <c r="AV48" i="2"/>
  <c r="AV49" i="2"/>
  <c r="AV50" i="2"/>
  <c r="AV51" i="2"/>
  <c r="AV2" i="2"/>
  <c r="AP5" i="2"/>
  <c r="K5" i="2" s="1"/>
  <c r="AP6" i="2"/>
  <c r="K6" i="2" s="1"/>
  <c r="AP10" i="2"/>
  <c r="K10" i="2" s="1"/>
  <c r="AP11" i="2"/>
  <c r="K11" i="2" s="1"/>
  <c r="AP12" i="2"/>
  <c r="K12" i="2" s="1"/>
  <c r="AP13" i="2"/>
  <c r="K13" i="2" s="1"/>
  <c r="AP14" i="2"/>
  <c r="K14" i="2" s="1"/>
  <c r="AP15" i="2"/>
  <c r="K15" i="2" s="1"/>
  <c r="AP16" i="2"/>
  <c r="K16" i="2" s="1"/>
  <c r="AP17" i="2"/>
  <c r="K17" i="2" s="1"/>
  <c r="AP18" i="2"/>
  <c r="K18" i="2" s="1"/>
  <c r="AP19" i="2"/>
  <c r="K19" i="2" s="1"/>
  <c r="AP20" i="2"/>
  <c r="K20" i="2" s="1"/>
  <c r="AP22" i="2"/>
  <c r="K22" i="2" s="1"/>
  <c r="AP23" i="2"/>
  <c r="K23" i="2" s="1"/>
  <c r="AP24" i="2"/>
  <c r="K24" i="2" s="1"/>
  <c r="AP25" i="2"/>
  <c r="K25" i="2" s="1"/>
  <c r="AP26" i="2"/>
  <c r="K26" i="2" s="1"/>
  <c r="AP27" i="2"/>
  <c r="K27" i="2" s="1"/>
  <c r="AP28" i="2"/>
  <c r="K28" i="2" s="1"/>
  <c r="AP29" i="2"/>
  <c r="K29" i="2" s="1"/>
  <c r="AP30" i="2"/>
  <c r="K30" i="2" s="1"/>
  <c r="AP31" i="2"/>
  <c r="K31" i="2" s="1"/>
  <c r="AP32" i="2"/>
  <c r="K32" i="2" s="1"/>
  <c r="AP33" i="2"/>
  <c r="K33" i="2" s="1"/>
  <c r="AP34" i="2"/>
  <c r="K34" i="2" s="1"/>
  <c r="AP35" i="2"/>
  <c r="K35" i="2" s="1"/>
  <c r="AP36" i="2"/>
  <c r="K36" i="2" s="1"/>
  <c r="AP37" i="2"/>
  <c r="K37" i="2" s="1"/>
  <c r="AP38" i="2"/>
  <c r="K38" i="2" s="1"/>
  <c r="AP39" i="2"/>
  <c r="K39" i="2" s="1"/>
  <c r="AP40" i="2"/>
  <c r="K40" i="2" s="1"/>
  <c r="AP41" i="2"/>
  <c r="K41" i="2" s="1"/>
  <c r="AP42" i="2"/>
  <c r="K42" i="2" s="1"/>
  <c r="AP43" i="2"/>
  <c r="K43" i="2" s="1"/>
  <c r="AP44" i="2"/>
  <c r="K44" i="2" s="1"/>
  <c r="AP45" i="2"/>
  <c r="K45" i="2" s="1"/>
  <c r="AP46" i="2"/>
  <c r="K46" i="2" s="1"/>
  <c r="AP47" i="2"/>
  <c r="K47" i="2" s="1"/>
  <c r="AP48" i="2"/>
  <c r="K48" i="2" s="1"/>
  <c r="AP49" i="2"/>
  <c r="K49" i="2" s="1"/>
  <c r="AP50" i="2"/>
  <c r="K50" i="2" s="1"/>
  <c r="AP51" i="2"/>
  <c r="K51" i="2" s="1"/>
  <c r="AP3" i="2"/>
  <c r="K3" i="2" s="1"/>
  <c r="AP4" i="2"/>
  <c r="K4" i="2" s="1"/>
  <c r="AP7" i="2"/>
  <c r="K7" i="2" s="1"/>
  <c r="AP8" i="2"/>
  <c r="K8" i="2" s="1"/>
  <c r="AP9" i="2"/>
  <c r="K9" i="2" s="1"/>
  <c r="AP21" i="2"/>
  <c r="K21" i="2" s="1"/>
  <c r="AP2" i="2"/>
  <c r="K2" i="2"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2" i="2"/>
  <c r="AG13" i="2"/>
  <c r="G13" i="2" s="1"/>
  <c r="I13" i="2" s="1"/>
  <c r="AG3" i="2"/>
  <c r="G3" i="2" s="1"/>
  <c r="I3" i="2" s="1"/>
  <c r="AG4" i="2"/>
  <c r="G4" i="2" s="1"/>
  <c r="I4" i="2" s="1"/>
  <c r="AG5" i="2"/>
  <c r="G5" i="2" s="1"/>
  <c r="I5" i="2" s="1"/>
  <c r="AG6" i="2"/>
  <c r="G6" i="2" s="1"/>
  <c r="I6" i="2" s="1"/>
  <c r="AG7" i="2"/>
  <c r="G7" i="2" s="1"/>
  <c r="I7" i="2" s="1"/>
  <c r="AG8" i="2"/>
  <c r="G8" i="2" s="1"/>
  <c r="I8" i="2" s="1"/>
  <c r="AG9" i="2"/>
  <c r="G9" i="2" s="1"/>
  <c r="I9" i="2" s="1"/>
  <c r="AG10" i="2"/>
  <c r="G10" i="2" s="1"/>
  <c r="I10" i="2" s="1"/>
  <c r="AG11" i="2"/>
  <c r="G11" i="2" s="1"/>
  <c r="I11" i="2" s="1"/>
  <c r="AG12" i="2"/>
  <c r="G12" i="2" s="1"/>
  <c r="I12" i="2" s="1"/>
  <c r="AG14" i="2"/>
  <c r="G14" i="2" s="1"/>
  <c r="I14" i="2" s="1"/>
  <c r="AG15" i="2"/>
  <c r="G15" i="2" s="1"/>
  <c r="I15" i="2" s="1"/>
  <c r="AG16" i="2"/>
  <c r="G16" i="2" s="1"/>
  <c r="I16" i="2" s="1"/>
  <c r="AG17" i="2"/>
  <c r="G17" i="2" s="1"/>
  <c r="I17" i="2" s="1"/>
  <c r="AG18" i="2"/>
  <c r="G18" i="2" s="1"/>
  <c r="I18" i="2" s="1"/>
  <c r="AG19" i="2"/>
  <c r="G19" i="2" s="1"/>
  <c r="I19" i="2" s="1"/>
  <c r="AG20" i="2"/>
  <c r="G20" i="2" s="1"/>
  <c r="I20" i="2" s="1"/>
  <c r="AG21" i="2"/>
  <c r="G21" i="2" s="1"/>
  <c r="I21" i="2" s="1"/>
  <c r="AG22" i="2"/>
  <c r="G22" i="2" s="1"/>
  <c r="I22" i="2" s="1"/>
  <c r="AG23" i="2"/>
  <c r="G23" i="2" s="1"/>
  <c r="I23" i="2" s="1"/>
  <c r="AG24" i="2"/>
  <c r="G24" i="2" s="1"/>
  <c r="I24" i="2" s="1"/>
  <c r="AG25" i="2"/>
  <c r="G25" i="2" s="1"/>
  <c r="I25" i="2" s="1"/>
  <c r="AG26" i="2"/>
  <c r="G26" i="2" s="1"/>
  <c r="I26" i="2" s="1"/>
  <c r="AG27" i="2"/>
  <c r="G27" i="2" s="1"/>
  <c r="I27" i="2" s="1"/>
  <c r="AG28" i="2"/>
  <c r="G28" i="2" s="1"/>
  <c r="I28" i="2" s="1"/>
  <c r="AG29" i="2"/>
  <c r="G29" i="2" s="1"/>
  <c r="I29" i="2" s="1"/>
  <c r="AG30" i="2"/>
  <c r="G30" i="2" s="1"/>
  <c r="I30" i="2" s="1"/>
  <c r="AG31" i="2"/>
  <c r="G31" i="2" s="1"/>
  <c r="I31" i="2" s="1"/>
  <c r="AG32" i="2"/>
  <c r="G32" i="2" s="1"/>
  <c r="I32" i="2" s="1"/>
  <c r="AG33" i="2"/>
  <c r="G33" i="2" s="1"/>
  <c r="I33" i="2" s="1"/>
  <c r="AG34" i="2"/>
  <c r="G34" i="2" s="1"/>
  <c r="I34" i="2" s="1"/>
  <c r="AG35" i="2"/>
  <c r="G35" i="2" s="1"/>
  <c r="I35" i="2" s="1"/>
  <c r="AG36" i="2"/>
  <c r="G36" i="2" s="1"/>
  <c r="I36" i="2" s="1"/>
  <c r="AG37" i="2"/>
  <c r="G37" i="2" s="1"/>
  <c r="I37" i="2" s="1"/>
  <c r="AG38" i="2"/>
  <c r="G38" i="2" s="1"/>
  <c r="I38" i="2" s="1"/>
  <c r="AG39" i="2"/>
  <c r="G39" i="2" s="1"/>
  <c r="I39" i="2" s="1"/>
  <c r="AG40" i="2"/>
  <c r="G40" i="2" s="1"/>
  <c r="I40" i="2" s="1"/>
  <c r="AG41" i="2"/>
  <c r="G41" i="2" s="1"/>
  <c r="I41" i="2" s="1"/>
  <c r="AG42" i="2"/>
  <c r="G42" i="2" s="1"/>
  <c r="I42" i="2" s="1"/>
  <c r="AG43" i="2"/>
  <c r="G43" i="2" s="1"/>
  <c r="I43" i="2" s="1"/>
  <c r="AG44" i="2"/>
  <c r="G44" i="2" s="1"/>
  <c r="I44" i="2" s="1"/>
  <c r="AG45" i="2"/>
  <c r="G45" i="2" s="1"/>
  <c r="I45" i="2" s="1"/>
  <c r="AG46" i="2"/>
  <c r="G46" i="2" s="1"/>
  <c r="I46" i="2" s="1"/>
  <c r="AG47" i="2"/>
  <c r="G47" i="2" s="1"/>
  <c r="I47" i="2" s="1"/>
  <c r="AG48" i="2"/>
  <c r="G48" i="2" s="1"/>
  <c r="I48" i="2" s="1"/>
  <c r="AG49" i="2"/>
  <c r="G49" i="2" s="1"/>
  <c r="I49" i="2" s="1"/>
  <c r="AG50" i="2"/>
  <c r="G50" i="2" s="1"/>
  <c r="I50" i="2" s="1"/>
  <c r="AG51" i="2"/>
  <c r="G51" i="2" s="1"/>
  <c r="I51" i="2" s="1"/>
  <c r="AG2" i="2"/>
  <c r="G2" i="2" s="1"/>
  <c r="I2" i="2"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2" i="2"/>
  <c r="C7" i="2"/>
  <c r="C29" i="2"/>
  <c r="C18" i="2"/>
  <c r="C17" i="2"/>
  <c r="C11"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2" i="2"/>
  <c r="X51" i="2"/>
  <c r="V51" i="2"/>
  <c r="Z51" i="2" s="1"/>
  <c r="X50" i="2"/>
  <c r="V50" i="2"/>
  <c r="Z50" i="2" s="1"/>
  <c r="X49" i="2"/>
  <c r="V49" i="2"/>
  <c r="Z49" i="2" s="1"/>
  <c r="X48" i="2"/>
  <c r="V48" i="2"/>
  <c r="Z48" i="2" s="1"/>
  <c r="X47" i="2"/>
  <c r="V47" i="2"/>
  <c r="Z47" i="2" s="1"/>
  <c r="X46" i="2"/>
  <c r="V46" i="2"/>
  <c r="Z46" i="2" s="1"/>
  <c r="X45" i="2"/>
  <c r="V45" i="2"/>
  <c r="Z45" i="2" s="1"/>
  <c r="X44" i="2"/>
  <c r="V44" i="2"/>
  <c r="Z44" i="2" s="1"/>
  <c r="X43" i="2"/>
  <c r="V43" i="2"/>
  <c r="Z43" i="2" s="1"/>
  <c r="X42" i="2"/>
  <c r="V42" i="2"/>
  <c r="Z42" i="2" s="1"/>
  <c r="X41" i="2"/>
  <c r="V41" i="2"/>
  <c r="Z41" i="2" s="1"/>
  <c r="X40" i="2"/>
  <c r="V40" i="2"/>
  <c r="Z40" i="2" s="1"/>
  <c r="X39" i="2"/>
  <c r="V39" i="2"/>
  <c r="Z39" i="2" s="1"/>
  <c r="X38" i="2"/>
  <c r="V38" i="2"/>
  <c r="Z38" i="2" s="1"/>
  <c r="X37" i="2"/>
  <c r="V37" i="2"/>
  <c r="Z37" i="2" s="1"/>
  <c r="X36" i="2"/>
  <c r="V36" i="2"/>
  <c r="Z36" i="2" s="1"/>
  <c r="X35" i="2"/>
  <c r="V35" i="2"/>
  <c r="Z35" i="2" s="1"/>
  <c r="X34" i="2"/>
  <c r="V34" i="2"/>
  <c r="Z34" i="2" s="1"/>
  <c r="X33" i="2"/>
  <c r="V33" i="2"/>
  <c r="X32" i="2"/>
  <c r="V32" i="2"/>
  <c r="Z32" i="2" s="1"/>
  <c r="X31" i="2"/>
  <c r="V31" i="2"/>
  <c r="Z31" i="2" s="1"/>
  <c r="X30" i="2"/>
  <c r="V30" i="2"/>
  <c r="Z30" i="2" s="1"/>
  <c r="X29" i="2"/>
  <c r="V29" i="2"/>
  <c r="Z29" i="2" s="1"/>
  <c r="X28" i="2"/>
  <c r="V28" i="2"/>
  <c r="Z28" i="2" s="1"/>
  <c r="X27" i="2"/>
  <c r="V27" i="2"/>
  <c r="Z27" i="2" s="1"/>
  <c r="X26" i="2"/>
  <c r="V26" i="2"/>
  <c r="Z26" i="2" s="1"/>
  <c r="X25" i="2"/>
  <c r="V25" i="2"/>
  <c r="Z25" i="2" s="1"/>
  <c r="X24" i="2"/>
  <c r="V24" i="2"/>
  <c r="Z24" i="2" s="1"/>
  <c r="X23" i="2"/>
  <c r="V23" i="2"/>
  <c r="Z23" i="2" s="1"/>
  <c r="X22" i="2"/>
  <c r="V22" i="2"/>
  <c r="Z22" i="2" s="1"/>
  <c r="X21" i="2"/>
  <c r="V21" i="2"/>
  <c r="Z21" i="2" s="1"/>
  <c r="X20" i="2"/>
  <c r="V20" i="2"/>
  <c r="Z20" i="2" s="1"/>
  <c r="X19" i="2"/>
  <c r="V19" i="2"/>
  <c r="Z19" i="2" s="1"/>
  <c r="X18" i="2"/>
  <c r="V18" i="2"/>
  <c r="Z18" i="2" s="1"/>
  <c r="X17" i="2"/>
  <c r="V17" i="2"/>
  <c r="Z17" i="2" s="1"/>
  <c r="X16" i="2"/>
  <c r="V16" i="2"/>
  <c r="Z16" i="2" s="1"/>
  <c r="X15" i="2"/>
  <c r="V15" i="2"/>
  <c r="Z15" i="2" s="1"/>
  <c r="X14" i="2"/>
  <c r="V14" i="2"/>
  <c r="Z14" i="2" s="1"/>
  <c r="X13" i="2"/>
  <c r="V13" i="2"/>
  <c r="Z13" i="2" s="1"/>
  <c r="X12" i="2"/>
  <c r="V12" i="2"/>
  <c r="Z12" i="2" s="1"/>
  <c r="X11" i="2"/>
  <c r="V11" i="2"/>
  <c r="Z11" i="2" s="1"/>
  <c r="X10" i="2"/>
  <c r="V10" i="2"/>
  <c r="Z10" i="2" s="1"/>
  <c r="X9" i="2"/>
  <c r="V9" i="2"/>
  <c r="Z9" i="2" s="1"/>
  <c r="X8" i="2"/>
  <c r="V8" i="2"/>
  <c r="Z8" i="2" s="1"/>
  <c r="X7" i="2"/>
  <c r="V7" i="2"/>
  <c r="X6" i="2"/>
  <c r="V6" i="2"/>
  <c r="X5" i="2"/>
  <c r="V5" i="2"/>
  <c r="Z5" i="2" s="1"/>
  <c r="X4" i="2"/>
  <c r="V4" i="2"/>
  <c r="Z4" i="2" s="1"/>
  <c r="X3" i="2"/>
  <c r="V3" i="2"/>
  <c r="Z3" i="2" s="1"/>
  <c r="X2" i="2"/>
  <c r="V2" i="2"/>
  <c r="Z2" i="2"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2" i="1"/>
  <c r="Z6" i="2" l="1"/>
  <c r="AB6" i="2" s="1"/>
  <c r="W36" i="2"/>
  <c r="W48" i="2"/>
  <c r="Y31" i="2"/>
  <c r="Z33" i="2"/>
  <c r="AB33" i="2" s="1"/>
  <c r="Y19" i="2"/>
  <c r="W13" i="2"/>
  <c r="Z7" i="2"/>
  <c r="AB7" i="2" s="1"/>
  <c r="Y7" i="2"/>
  <c r="Y43" i="2"/>
  <c r="Y8" i="2"/>
  <c r="Y12" i="2"/>
  <c r="Y13" i="2"/>
  <c r="Y15" i="2"/>
  <c r="Y20" i="2"/>
  <c r="Y24" i="2"/>
  <c r="Y25" i="2"/>
  <c r="Y32" i="2"/>
  <c r="Y36" i="2"/>
  <c r="Y39" i="2"/>
  <c r="Y44" i="2"/>
  <c r="Y48" i="2"/>
  <c r="Y49" i="2"/>
  <c r="Y50" i="2"/>
  <c r="Y51" i="2"/>
  <c r="AB32" i="2"/>
  <c r="AB26" i="2"/>
  <c r="AB8" i="2"/>
  <c r="AB2" i="2"/>
  <c r="W4" i="2"/>
  <c r="W5" i="2"/>
  <c r="W6" i="2"/>
  <c r="W9" i="2"/>
  <c r="W10" i="2"/>
  <c r="W11" i="2"/>
  <c r="W12" i="2"/>
  <c r="W15" i="2"/>
  <c r="W16" i="2"/>
  <c r="W17" i="2"/>
  <c r="W18" i="2"/>
  <c r="W21" i="2"/>
  <c r="W22" i="2"/>
  <c r="W23" i="2"/>
  <c r="W24" i="2"/>
  <c r="W25" i="2"/>
  <c r="W28" i="2"/>
  <c r="W29" i="2"/>
  <c r="W30" i="2"/>
  <c r="W33" i="2"/>
  <c r="W34" i="2"/>
  <c r="W35" i="2"/>
  <c r="W39" i="2"/>
  <c r="W40" i="2"/>
  <c r="W41" i="2"/>
  <c r="W42" i="2"/>
  <c r="W45" i="2"/>
  <c r="W46" i="2"/>
  <c r="W47" i="2"/>
  <c r="W49" i="2"/>
  <c r="W50" i="2"/>
  <c r="W51" i="2"/>
  <c r="W2" i="2"/>
  <c r="W3" i="2"/>
  <c r="Y3" i="2"/>
  <c r="W14" i="2"/>
  <c r="Y14" i="2"/>
  <c r="Y26" i="2"/>
  <c r="W26" i="2"/>
  <c r="AA26" i="2" s="1"/>
  <c r="AC26" i="2" s="1"/>
  <c r="Y27" i="2"/>
  <c r="W27" i="2"/>
  <c r="AA27" i="2" s="1"/>
  <c r="AC27" i="2" s="1"/>
  <c r="Y37" i="2"/>
  <c r="W37" i="2"/>
  <c r="W38" i="2"/>
  <c r="Y38" i="2"/>
  <c r="Y47" i="2"/>
  <c r="Y35" i="2"/>
  <c r="Y23" i="2"/>
  <c r="Y11" i="2"/>
  <c r="Y46" i="2"/>
  <c r="Y34" i="2"/>
  <c r="Y22" i="2"/>
  <c r="Y10" i="2"/>
  <c r="Y45" i="2"/>
  <c r="Y33" i="2"/>
  <c r="Y21" i="2"/>
  <c r="Y9" i="2"/>
  <c r="Y42" i="2"/>
  <c r="Y30" i="2"/>
  <c r="Y18" i="2"/>
  <c r="Y6" i="2"/>
  <c r="W44" i="2"/>
  <c r="W32" i="2"/>
  <c r="W20" i="2"/>
  <c r="W8" i="2"/>
  <c r="Y41" i="2"/>
  <c r="Y29" i="2"/>
  <c r="Y17" i="2"/>
  <c r="Y5" i="2"/>
  <c r="W43" i="2"/>
  <c r="W31" i="2"/>
  <c r="W19" i="2"/>
  <c r="W7" i="2"/>
  <c r="Y2" i="2"/>
  <c r="Y40" i="2"/>
  <c r="Y28" i="2"/>
  <c r="Y16" i="2"/>
  <c r="Y4" i="2"/>
  <c r="AB5" i="2"/>
  <c r="AB11" i="2"/>
  <c r="AB17" i="2"/>
  <c r="AB23" i="2"/>
  <c r="AB29" i="2"/>
  <c r="AB35" i="2"/>
  <c r="AB41" i="2"/>
  <c r="AB47" i="2"/>
  <c r="AB3" i="2"/>
  <c r="AB9" i="2"/>
  <c r="AB15" i="2"/>
  <c r="AB21" i="2"/>
  <c r="AB27" i="2"/>
  <c r="AB39" i="2"/>
  <c r="AB51" i="2"/>
  <c r="AB50" i="2"/>
  <c r="AB4" i="2"/>
  <c r="AB10" i="2"/>
  <c r="AB16" i="2"/>
  <c r="AB22" i="2"/>
  <c r="AB28" i="2"/>
  <c r="AB34" i="2"/>
  <c r="AB40" i="2"/>
  <c r="AB45" i="2"/>
  <c r="AB12" i="2"/>
  <c r="AB24" i="2"/>
  <c r="AB30" i="2"/>
  <c r="AB36" i="2"/>
  <c r="AB42" i="2"/>
  <c r="AB13" i="2"/>
  <c r="AB19" i="2"/>
  <c r="AB25" i="2"/>
  <c r="AB31" i="2"/>
  <c r="AB37" i="2"/>
  <c r="AB43" i="2"/>
  <c r="AB38" i="2"/>
  <c r="AB48" i="2"/>
  <c r="AB49" i="2"/>
  <c r="AB18" i="2"/>
  <c r="AB44" i="2"/>
  <c r="AB20" i="2"/>
  <c r="AB46" i="2"/>
  <c r="AA9" i="2" l="1"/>
  <c r="AC9" i="2" s="1"/>
  <c r="AA18" i="2"/>
  <c r="AC18" i="2" s="1"/>
  <c r="AA37" i="2"/>
  <c r="AC37" i="2" s="1"/>
  <c r="AA36" i="2"/>
  <c r="AC36" i="2" s="1"/>
  <c r="AA48" i="2"/>
  <c r="AC48" i="2" s="1"/>
  <c r="AA10" i="2"/>
  <c r="AC10" i="2" s="1"/>
  <c r="AA42" i="2"/>
  <c r="AC42" i="2" s="1"/>
  <c r="AA4" i="2"/>
  <c r="AC4" i="2" s="1"/>
  <c r="AA11" i="2"/>
  <c r="AC11" i="2" s="1"/>
  <c r="AA16" i="2"/>
  <c r="AC16" i="2" s="1"/>
  <c r="AA17" i="2"/>
  <c r="AC17" i="2" s="1"/>
  <c r="AA21" i="2"/>
  <c r="AC21" i="2" s="1"/>
  <c r="AA5" i="2"/>
  <c r="AC5" i="2" s="1"/>
  <c r="AA12" i="2"/>
  <c r="AC12" i="2" s="1"/>
  <c r="AA15" i="2"/>
  <c r="AC15" i="2" s="1"/>
  <c r="AA46" i="2"/>
  <c r="AC46" i="2" s="1"/>
  <c r="AA47" i="2"/>
  <c r="AC47" i="2" s="1"/>
  <c r="AA20" i="2"/>
  <c r="AC20" i="2" s="1"/>
  <c r="AA8" i="2"/>
  <c r="AC8" i="2" s="1"/>
  <c r="AA43" i="2"/>
  <c r="AC43" i="2" s="1"/>
  <c r="AA31" i="2"/>
  <c r="AC31" i="2" s="1"/>
  <c r="AA19" i="2"/>
  <c r="AC19" i="2" s="1"/>
  <c r="AA7" i="2"/>
  <c r="AC7" i="2" s="1"/>
  <c r="AA22" i="2"/>
  <c r="AC22" i="2" s="1"/>
  <c r="AA23" i="2"/>
  <c r="AC23" i="2" s="1"/>
  <c r="AA24" i="2"/>
  <c r="AC24" i="2" s="1"/>
  <c r="AA25" i="2"/>
  <c r="AC25" i="2" s="1"/>
  <c r="AA28" i="2"/>
  <c r="AC28" i="2" s="1"/>
  <c r="AA30" i="2"/>
  <c r="AC30" i="2" s="1"/>
  <c r="AA33" i="2"/>
  <c r="AC33" i="2" s="1"/>
  <c r="AA34" i="2"/>
  <c r="AC34" i="2" s="1"/>
  <c r="AA35" i="2"/>
  <c r="AC35" i="2" s="1"/>
  <c r="AA39" i="2"/>
  <c r="AC39" i="2" s="1"/>
  <c r="AA40" i="2"/>
  <c r="AC40" i="2" s="1"/>
  <c r="AA49" i="2"/>
  <c r="AC49" i="2" s="1"/>
  <c r="AA50" i="2"/>
  <c r="AC50" i="2" s="1"/>
  <c r="AA2" i="2"/>
  <c r="AC2" i="2" s="1"/>
  <c r="AA41" i="2"/>
  <c r="AC41" i="2" s="1"/>
  <c r="AA45" i="2"/>
  <c r="AC45" i="2" s="1"/>
  <c r="AA51" i="2"/>
  <c r="AC51" i="2" s="1"/>
  <c r="AA3" i="2"/>
  <c r="AC3" i="2" s="1"/>
  <c r="AA38" i="2"/>
  <c r="AC38" i="2" s="1"/>
  <c r="AA44" i="2"/>
  <c r="AC44" i="2" s="1"/>
  <c r="AA32" i="2"/>
  <c r="AC32" i="2" s="1"/>
  <c r="AA6" i="2"/>
  <c r="AC6" i="2" s="1"/>
  <c r="AA29" i="2"/>
  <c r="AC29" i="2" s="1"/>
</calcChain>
</file>

<file path=xl/sharedStrings.xml><?xml version="1.0" encoding="utf-8"?>
<sst xmlns="http://schemas.openxmlformats.org/spreadsheetml/2006/main" count="1077" uniqueCount="289">
  <si>
    <t>Country</t>
  </si>
  <si>
    <t>OrderID</t>
  </si>
  <si>
    <t>OrderDate</t>
  </si>
  <si>
    <t>CustomerName</t>
  </si>
  <si>
    <t>Product</t>
  </si>
  <si>
    <t>Category</t>
  </si>
  <si>
    <t>Region</t>
  </si>
  <si>
    <t>SalesRep</t>
  </si>
  <si>
    <t>Quantity</t>
  </si>
  <si>
    <t>UnitPrice</t>
  </si>
  <si>
    <t>UnitCost</t>
  </si>
  <si>
    <t>Revenue</t>
  </si>
  <si>
    <t>TotalCost</t>
  </si>
  <si>
    <t>Profit</t>
  </si>
  <si>
    <t>ProfitMargin</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</si>
  <si>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</si>
  <si>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</si>
  <si>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</si>
  <si>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</si>
  <si>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</si>
  <si>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</si>
  <si>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</si>
  <si>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</si>
  <si>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</si>
  <si>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</si>
  <si>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</si>
  <si>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</si>
  <si>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</si>
  <si>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</si>
  <si>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</si>
  <si>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</si>
  <si>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</si>
  <si>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</si>
  <si>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</si>
  <si>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</si>
  <si>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</si>
  <si>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</si>
  <si>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</si>
  <si>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</si>
  <si>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</si>
  <si>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</si>
  <si>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</si>
  <si>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</si>
  <si>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</si>
  <si>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</si>
  <si>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</si>
  <si>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</si>
  <si>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</si>
  <si>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</si>
  <si>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</si>
  <si>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</si>
  <si>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</si>
  <si>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</si>
  <si>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</si>
  <si>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</si>
  <si>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</si>
  <si>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</si>
  <si>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</si>
  <si>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</si>
  <si>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</si>
  <si>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</si>
  <si>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</si>
  <si>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</si>
  <si>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</si>
  <si>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</si>
  <si>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17/4/2022</t>
  </si>
  <si>
    <t>18/4/2022</t>
  </si>
  <si>
    <t>22/5-2022</t>
  </si>
  <si>
    <t>25-5-2022</t>
  </si>
  <si>
    <t>27/8/2022</t>
  </si>
  <si>
    <t>25/12/2022</t>
  </si>
  <si>
    <t>Wednesday, September 28, 2022</t>
  </si>
  <si>
    <t>Monday, March 20, 2023</t>
  </si>
  <si>
    <t>17/5/2023</t>
  </si>
  <si>
    <t>19/5/2023</t>
  </si>
  <si>
    <t>20-9-2024</t>
  </si>
  <si>
    <t>Friday, November 1, 2024</t>
  </si>
  <si>
    <t>20/12-2024</t>
  </si>
  <si>
    <t>24/12/2024</t>
  </si>
  <si>
    <t>28/1/2025</t>
  </si>
  <si>
    <t>29/1/2025</t>
  </si>
  <si>
    <t>30-2-2025</t>
  </si>
  <si>
    <t>15/5/25</t>
  </si>
  <si>
    <t>Tuesday, June 16, 2025</t>
  </si>
  <si>
    <t>24/7/2025</t>
  </si>
  <si>
    <t>15/8/2025</t>
  </si>
  <si>
    <t>17/8/2025</t>
  </si>
  <si>
    <t>18/10/2025</t>
  </si>
  <si>
    <t>19/10/2025</t>
  </si>
  <si>
    <t>30/10/2025</t>
  </si>
  <si>
    <t>13-12-2025</t>
  </si>
  <si>
    <t>25/12-2025</t>
  </si>
  <si>
    <t>18/2-2026</t>
  </si>
  <si>
    <t>19-2-2026</t>
  </si>
  <si>
    <t>14/4/2026</t>
  </si>
  <si>
    <t>17/4-2026</t>
  </si>
  <si>
    <t>20/3/2026</t>
  </si>
  <si>
    <t>21/4-2026</t>
  </si>
  <si>
    <t>22/4/226</t>
  </si>
  <si>
    <t>14/5/2026</t>
  </si>
  <si>
    <t>John smith</t>
  </si>
  <si>
    <t>Jhon SMIT</t>
  </si>
  <si>
    <t>Carol demerjian</t>
  </si>
  <si>
    <t>elie Tondaro</t>
  </si>
  <si>
    <t xml:space="preserve">      Fouad koussa</t>
  </si>
  <si>
    <t xml:space="preserve">Rabih Trabulsi    </t>
  </si>
  <si>
    <t>Nouhade HAROUCH</t>
  </si>
  <si>
    <t>christine sawaya</t>
  </si>
  <si>
    <t>jawad ilawi</t>
  </si>
  <si>
    <t>Anthony Rawah</t>
  </si>
  <si>
    <t>Jad BISo</t>
  </si>
  <si>
    <t>Sonia     Tuni</t>
  </si>
  <si>
    <t xml:space="preserve">fraky buni   </t>
  </si>
  <si>
    <t xml:space="preserve">               Toni Eid</t>
  </si>
  <si>
    <t>Ella        Donuawi</t>
  </si>
  <si>
    <t>Tony Donia</t>
  </si>
  <si>
    <t xml:space="preserve">     Jamil Batata</t>
  </si>
  <si>
    <t>Elie Statham</t>
  </si>
  <si>
    <t>Elie Koralo</t>
  </si>
  <si>
    <t>Fady           ibrahim</t>
  </si>
  <si>
    <t>rita banana</t>
  </si>
  <si>
    <t>Micheal Johnson</t>
  </si>
  <si>
    <t>SARAH JOHNSON</t>
  </si>
  <si>
    <t>Emily    davis</t>
  </si>
  <si>
    <t>J. Smith</t>
  </si>
  <si>
    <t>Anthony Thompson</t>
  </si>
  <si>
    <t>Edward lee</t>
  </si>
  <si>
    <t>Celio Saab</t>
  </si>
  <si>
    <t>Georges T. Eid</t>
  </si>
  <si>
    <t>Rawad zor</t>
  </si>
  <si>
    <t>Angela Farghus</t>
  </si>
  <si>
    <t>Ryan Walker</t>
  </si>
  <si>
    <t>Luis Diaz</t>
  </si>
  <si>
    <t>Ronaldo di</t>
  </si>
  <si>
    <t>Isabella Harris</t>
  </si>
  <si>
    <t>Hanna Abi Habib</t>
  </si>
  <si>
    <t>Chloe       thomson</t>
  </si>
  <si>
    <t xml:space="preserve">          Carrick fernandez</t>
  </si>
  <si>
    <t>Lana     rawas</t>
  </si>
  <si>
    <t>Elie bruno</t>
  </si>
  <si>
    <t>Jamal Hansi</t>
  </si>
  <si>
    <t>Antonia Moub</t>
  </si>
  <si>
    <t>angelina        noub</t>
  </si>
  <si>
    <t xml:space="preserve">          Mark Garcia</t>
  </si>
  <si>
    <t>Brian            Rodriguez</t>
  </si>
  <si>
    <t>Georges LEWIS</t>
  </si>
  <si>
    <t>Keyboard</t>
  </si>
  <si>
    <t>Headset</t>
  </si>
  <si>
    <t>Mouse</t>
  </si>
  <si>
    <t xml:space="preserve">mouse </t>
  </si>
  <si>
    <t xml:space="preserve">   iphone 17 </t>
  </si>
  <si>
    <t>HDMI Cable</t>
  </si>
  <si>
    <t>HP Laptop</t>
  </si>
  <si>
    <t>Office Chair</t>
  </si>
  <si>
    <t>iphone 17</t>
  </si>
  <si>
    <t>Nike Shoes</t>
  </si>
  <si>
    <t>ZARA jacket</t>
  </si>
  <si>
    <t>LG Smart TV</t>
  </si>
  <si>
    <t>MacBook Air</t>
  </si>
  <si>
    <t>Air Conditioner</t>
  </si>
  <si>
    <t>Water    Heater</t>
  </si>
  <si>
    <t>Blender</t>
  </si>
  <si>
    <t>nike shoes</t>
  </si>
  <si>
    <t>Zara Jacket</t>
  </si>
  <si>
    <t>iphone 15</t>
  </si>
  <si>
    <t>ipad Pro</t>
  </si>
  <si>
    <t>Dumbells</t>
  </si>
  <si>
    <t>mouse</t>
  </si>
  <si>
    <t>dell laptop</t>
  </si>
  <si>
    <t>samsung tv</t>
  </si>
  <si>
    <t>MOUSE</t>
  </si>
  <si>
    <t>KEYBoard</t>
  </si>
  <si>
    <t>Puma Hoodie</t>
  </si>
  <si>
    <t>Water   Heater</t>
  </si>
  <si>
    <t>wireless mouse</t>
  </si>
  <si>
    <t>running shoes</t>
  </si>
  <si>
    <t>gaming chair</t>
  </si>
  <si>
    <t xml:space="preserve">       gaming chair</t>
  </si>
  <si>
    <t>zara Jacket</t>
  </si>
  <si>
    <t>Electronics</t>
  </si>
  <si>
    <t>Electroncs</t>
  </si>
  <si>
    <t xml:space="preserve">         Electronics</t>
  </si>
  <si>
    <t>electronics</t>
  </si>
  <si>
    <t>Furniture</t>
  </si>
  <si>
    <t xml:space="preserve">                 Electronics</t>
  </si>
  <si>
    <t>Apparel</t>
  </si>
  <si>
    <t>Electonics</t>
  </si>
  <si>
    <t xml:space="preserve">               Electronics</t>
  </si>
  <si>
    <t>Appliances</t>
  </si>
  <si>
    <t>apparel</t>
  </si>
  <si>
    <t>Sports</t>
  </si>
  <si>
    <t xml:space="preserve">         Electronic</t>
  </si>
  <si>
    <t xml:space="preserve">Electronics        </t>
  </si>
  <si>
    <t>N/A</t>
  </si>
  <si>
    <t>Lebanon</t>
  </si>
  <si>
    <t>UAE</t>
  </si>
  <si>
    <t>France</t>
  </si>
  <si>
    <t>lebanon</t>
  </si>
  <si>
    <t>canada</t>
  </si>
  <si>
    <t>U.A.E</t>
  </si>
  <si>
    <t>Frnace</t>
  </si>
  <si>
    <t>Germany</t>
  </si>
  <si>
    <t>germany</t>
  </si>
  <si>
    <t xml:space="preserve">          France</t>
  </si>
  <si>
    <t>Middle east</t>
  </si>
  <si>
    <t>Europe</t>
  </si>
  <si>
    <t>North America</t>
  </si>
  <si>
    <t>Samer Chawlah</t>
  </si>
  <si>
    <t>Samer      chawlah</t>
  </si>
  <si>
    <t>Dimitri ksara</t>
  </si>
  <si>
    <t>Perla Yunani</t>
  </si>
  <si>
    <t xml:space="preserve">Europe        </t>
  </si>
  <si>
    <t>Xana Rikz</t>
  </si>
  <si>
    <t>Fadi Karnib</t>
  </si>
  <si>
    <t>joanne salameh</t>
  </si>
  <si>
    <t>Rabih Nounani</t>
  </si>
  <si>
    <t>Perla           Yunani</t>
  </si>
  <si>
    <t>two</t>
  </si>
  <si>
    <t>one</t>
  </si>
  <si>
    <t>ten</t>
  </si>
  <si>
    <t>55$</t>
  </si>
  <si>
    <t>450,00</t>
  </si>
  <si>
    <t>330$</t>
  </si>
  <si>
    <t>860$</t>
  </si>
  <si>
    <t>2$</t>
  </si>
  <si>
    <t>Clean_Quantity</t>
  </si>
  <si>
    <t>Clean_UnitPrice</t>
  </si>
  <si>
    <t>Clean_Revenue</t>
  </si>
  <si>
    <t>Clean_TotalCost</t>
  </si>
  <si>
    <t>Clean_UnitCost</t>
  </si>
  <si>
    <t>Clean_Profit</t>
  </si>
  <si>
    <t>Clean_ProfitMargin</t>
  </si>
  <si>
    <t>Clean_OrderDate</t>
  </si>
  <si>
    <t>22/5/2022</t>
  </si>
  <si>
    <t>25/5/2022</t>
  </si>
  <si>
    <t>20/9/2024</t>
  </si>
  <si>
    <t>20/12/2024</t>
  </si>
  <si>
    <t>30/2/2025</t>
  </si>
  <si>
    <t>13/12/2025</t>
  </si>
  <si>
    <t>25/12/2025</t>
  </si>
  <si>
    <t>18/2/2026</t>
  </si>
  <si>
    <t>19/2/2026</t>
  </si>
  <si>
    <t>17/4/2026</t>
  </si>
  <si>
    <t>21/4/2026</t>
  </si>
  <si>
    <t>Clean_CustomerName</t>
  </si>
  <si>
    <t>Clean_Product</t>
  </si>
  <si>
    <t>WrongP</t>
  </si>
  <si>
    <t>CorrectP</t>
  </si>
  <si>
    <t>Iphone 17</t>
  </si>
  <si>
    <t>Samsung TV</t>
  </si>
  <si>
    <t>iPhone 17</t>
  </si>
  <si>
    <t>Helper_Product</t>
  </si>
  <si>
    <t>Hdmi Cable</t>
  </si>
  <si>
    <t>Hp Laptop</t>
  </si>
  <si>
    <t>Lg Smart Tv</t>
  </si>
  <si>
    <t>Ipad Pro</t>
  </si>
  <si>
    <t>iPad Pro</t>
  </si>
  <si>
    <t>Samsung Tv</t>
  </si>
  <si>
    <t>Clean_Category</t>
  </si>
  <si>
    <t>Clean_Country</t>
  </si>
  <si>
    <t>Clean_SalesRep</t>
  </si>
  <si>
    <t>Clean_Region</t>
  </si>
  <si>
    <t>ProductUnique</t>
  </si>
  <si>
    <t>Macbook Air</t>
  </si>
  <si>
    <t>Water Heater</t>
  </si>
  <si>
    <t>Iphone 15</t>
  </si>
  <si>
    <t>Dell Laptop</t>
  </si>
  <si>
    <t>Wireless Mouse</t>
  </si>
  <si>
    <t>Running Shoes</t>
  </si>
  <si>
    <t>Gaming Chair</t>
  </si>
  <si>
    <t>iPhone 15</t>
  </si>
  <si>
    <t>FinalCategory</t>
  </si>
  <si>
    <t>CountryProper</t>
  </si>
  <si>
    <t>Uae</t>
  </si>
  <si>
    <t>Canada</t>
  </si>
  <si>
    <t>CountryUnique</t>
  </si>
  <si>
    <t>WrongC</t>
  </si>
  <si>
    <t>CorrectC</t>
  </si>
  <si>
    <t>CorrectR</t>
  </si>
  <si>
    <t>Middle East</t>
  </si>
  <si>
    <t>RegionPoper</t>
  </si>
  <si>
    <t>Row Labels</t>
  </si>
  <si>
    <t>Grand Total</t>
  </si>
  <si>
    <t>Sum of Clean_Revenue</t>
  </si>
  <si>
    <t>Sum of Clean_Profit</t>
  </si>
  <si>
    <t>Column Labels</t>
  </si>
  <si>
    <t>(All)</t>
  </si>
  <si>
    <t>Sales Rep</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</si>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</sst>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44" formatCode="_(&quot;$&quot;* #,##0.00_);_(&quot;$&quot;* \(#,##0.00\);_(&quot;$&quot;* &quot;-&quot;??_);_(@_)"/>
    <numFmt numFmtId="43" formatCode="_(* #,##0.00_);_(* \(#,##0.00\);_(* &quot;-&quot;??_);_(@_)"/>
    <numFmt numFmtId="164" formatCode="_(&quot;$&quot;* #,##0_);_(&quot;$&quot;* \(#,##0\);_(&quot;$&quot;* &quot;-&quot;??_);_(@_)"/>
    <numFmt numFmtId="165" formatCode="d/m/yyyy"/>
  </numFmts>
  <fonts count="6" x14ac:knownFonts="1">
    <font>
      <sz val="11"/>
      <color theme="1"/>
      <name val="Aptos Narrow"/>
      <family val="2"/>
      <scheme val="minor"/>
    </font>
    <font>
      <sz val="8"/>
      <name val="Aptos Narrow"/>
      <family val="2"/>
      <scheme val="minor"/>
    </font>
    <font>
      <sz val="11"/>
      <color theme="1"/>
      <name val="Aptos Narrow"/>
      <family val="2"/>
      <scheme val="minor"/>
    </font>
    <font>
      <b/>
      <sz val="11"/>
      <color theme="1"/>
      <name val="Aptos Narrow"/>
      <scheme val="minor"/>
    </font>
    <font>
      <b/>
      <sz val="11"/>
      <color theme="1"/>
      <name val="Aptos Narrow"/>
      <family val="2"/>
      <scheme val="minor"/>
    </font>
    <font>
      <b/>
      <sz val="28"/>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22">
    <xf numFmtId="0" fontId="0" fillId="0" borderId="0" xfId="0"/>
    <xf numFmtId="14" fontId="0" fillId="0" borderId="0" xfId="0" applyNumberFormat="1"/>
    <xf numFmtId="0" fontId="0" fillId="0" borderId="0" xfId="0" applyAlignment="1">
      <alignment horizontal="right"/>
    </xf>
    <xf numFmtId="14" fontId="0" fillId="0" borderId="0" xfId="0" applyNumberFormat="1" applyAlignment="1">
      <alignment horizontal="left"/>
    </xf>
    <xf numFmtId="2" fontId="0" fillId="0" borderId="0" xfId="0" applyNumberFormat="1"/>
    <xf numFmtId="3" fontId="0" fillId="0" borderId="0" xfId="0" applyNumberFormat="1"/>
    <xf numFmtId="164" fontId="0" fillId="0" borderId="0" xfId="1" applyNumberFormat="1" applyFont="1"/>
    <xf numFmtId="43" fontId="0" fillId="0" borderId="0" xfId="1" applyNumberFormat="1" applyFont="1"/>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64" fontId="3" fillId="0" borderId="0" xfId="1" applyNumberFormat="1" applyFont="1" applyAlignment="1">
      <alignment horizontal="right"/>
    </xf>
    <xf numFmtId="164" fontId="0" fillId="0" borderId="0" xfId="0" applyNumberFormat="1"/>
    <xf numFmtId="44" fontId="0" fillId="0" borderId="0" xfId="0" applyNumberFormat="1"/>
    <xf numFmtId="165" fontId="0" fillId="0" borderId="0" xfId="0" applyNumberFormat="1" applyAlignment="1">
      <alignment horizontal="right"/>
    </xf>
    <xf numFmtId="14" fontId="0" fillId="0" borderId="0" xfId="0" applyNumberFormat="1" applyAlignment="1">
      <alignment horizontal="right"/>
    </xf>
    <xf numFmtId="0" fontId="4" fillId="0" borderId="0" xfId="0" applyFont="1" applyAlignment="1">
      <alignment horizontal="left"/>
    </xf>
    <xf numFmtId="0" fontId="4" fillId="0" borderId="0" xfId="0" applyFont="1" applyAlignment="1">
      <alignment horizontal="center"/>
    </xf>
    <xf numFmtId="0" fontId="0" fillId="0" borderId="0" xfId="0" pivotButton="1"/>
    <xf numFmtId="0" fontId="0" fillId="0" borderId="0" xfId="0" applyAlignment="1">
      <alignment horizontal="left"/>
    </xf>
    <xf numFmtId="5" fontId="0" fillId="0" borderId="0" xfId="0" applyNumberFormat="1"/>
    <xf numFmtId="0" fontId="5" fillId="0" borderId="0" xfId="0" applyFont="1" applyAlignment="1">
      <alignment horizontal="center" vertical="center"/>
    </xf>
  </cellXfs>
  <cellStyles count="2">
    <cellStyle name="Currency" xfId="1" builtinId="4"/>
    <cellStyle name="Normal" xfId="0" builtinId="0"/>
  </cellStyles>
  <dxfs count="8">
    <dxf>
      <numFmt numFmtId="34" formatCode="_(&quot;$&quot;* #,##0.00_);_(&quot;$&quot;* \(#,##0.00\);_(&quot;$&quot;* &quot;-&quot;??_);_(@_)"/>
    </dxf>
    <dxf>
      <numFmt numFmtId="164" formatCode="_(&quot;$&quot;* #,##0_);_(&quot;$&quot;* \(#,##0\);_(&quot;$&quot;* &quot;-&quot;??_);_(@_)"/>
    </dxf>
    <dxf>
      <font>
        <b val="0"/>
        <i val="0"/>
        <strike val="0"/>
        <condense val="0"/>
        <extend val="0"/>
        <outline val="0"/>
        <shadow val="0"/>
        <u val="none"/>
        <vertAlign val="baseline"/>
        <sz val="11"/>
        <color theme="1"/>
        <name val="Aptos Narrow"/>
        <family val="2"/>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Aptos Narrow"/>
        <family val="2"/>
        <scheme val="minor"/>
      </font>
      <numFmt numFmtId="164" formatCode="_(&quot;$&quot;* #,##0_);_(&quot;$&quot;* \(#,##0\);_(&quot;$&quot;* &quot;-&quot;??_);_(@_)"/>
    </dxf>
    <dxf>
      <font>
        <b val="0"/>
        <i val="0"/>
        <strike val="0"/>
        <condense val="0"/>
        <extend val="0"/>
        <outline val="0"/>
        <shadow val="0"/>
        <u val="none"/>
        <vertAlign val="baseline"/>
        <sz val="11"/>
        <color theme="1"/>
        <name val="Aptos Narrow"/>
        <family val="2"/>
        <scheme val="minor"/>
      </font>
      <numFmt numFmtId="35" formatCode="_(* #,##0.00_);_(* \(#,##0.00\);_(* &quot;-&quot;??_);_(@_)"/>
    </dxf>
    <dxf>
      <alignment horizontal="right" vertical="bottom" textRotation="0" wrapText="0" indent="0" justifyLastLine="0" shrinkToFit="0" readingOrder="0"/>
    </dxf>
    <dxf>
      <font>
        <b/>
        <i val="0"/>
        <strike val="0"/>
        <condense val="0"/>
        <extend val="0"/>
        <outline val="0"/>
        <shadow val="0"/>
        <u val="none"/>
        <vertAlign val="baseline"/>
        <sz val="11"/>
        <color theme="1"/>
        <name val="Aptos Narrow"/>
        <scheme val="minor"/>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[Elie_Zeraoui_Sales_Analysis.xlsx]Pivot_Table1!PivotTable1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Pivot_Table1!$B$3</c:f>
              <c:strCache>
                <c:ptCount val="1"/>
                <c:pt idx="0">
                  <c:v>Total</c:v>
                </c:pt>
              </c:strCache>
            </c:strRef>
          </c:tx>
          <c:spPr>
            <a:solidFill>
              <a:schemeClr val="tx2">
                <a:lumMod val="75000"/>
                <a:lumOff val="25000"/>
              </a:schemeClr>
            </a:solidFill>
            <a:ln>
              <a:noFill/>
            </a:ln>
            <a:effectLst/>
          </c:spPr>
          <c:invertIfNegative val="0"/>
          <c:cat>
            <c:strRef>
              <c:f>Pivot_Table1!$A$4:$A$9</c:f>
              <c:strCache>
                <c:ptCount val="5"/>
                <c:pt idx="0">
                  <c:v>Air Conditioner</c:v>
                </c:pt>
                <c:pt idx="1">
                  <c:v>Dell Laptop</c:v>
                </c:pt>
                <c:pt idx="2">
                  <c:v>HP Laptop</c:v>
                </c:pt>
                <c:pt idx="3">
                  <c:v>iPhone 17</c:v>
                </c:pt>
                <c:pt idx="4">
                  <c:v>Water Heater</c:v>
                </c:pt>
              </c:strCache>
            </c:strRef>
          </c:cat>
          <c:val>
            <c:numRef>
              <c:f>Pivot_Table1!$B$4:$B$9</c:f>
              <c:numCache>
                <c:formatCode>_("$"* #,##0_);_("$"* \(#,##0\);_("$"* "-"??_);_(@_)</c:formatCode>
                <c:ptCount val="5"/>
                <c:pt idx="0">
                  <c:v>15840</c:v>
                </c:pt>
                <c:pt idx="1">
                  <c:v>7300</c:v>
                </c:pt>
                <c:pt idx="2">
                  <c:v>11440</c:v>
                </c:pt>
                <c:pt idx="3">
                  <c:v>21300</c:v>
                </c:pt>
                <c:pt idx="4">
                  <c:v>9940</c:v>
                </c:pt>
              </c:numCache>
            </c:numRef>
          </c:val>
          <c:extLst>
            <c:ext xmlns:c16="http://schemas.microsoft.com/office/drawing/2014/chart" uri="{C3380CC4-5D6E-409C-BE32-E72D297353CC}">
              <c16:uniqueId val="{00000000-C21E-4C6E-9EDB-84D9F2DB5B74}"/>
            </c:ext>
          </c:extLst>
        </c:ser>
        <c:dLbls>
          <c:showLegendKey val="0"/>
          <c:showVal val="0"/>
          <c:showCatName val="0"/>
          <c:showSerName val="0"/>
          <c:showPercent val="0"/>
          <c:showBubbleSize val="0"/>
        </c:dLbls>
        <c:gapWidth val="219"/>
        <c:overlap val="-27"/>
        <c:axId val="653833096"/>
        <c:axId val="653833816"/>
      </c:barChart>
      <c:catAx>
        <c:axId val="653833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33816"/>
        <c:crosses val="autoZero"/>
        <c:auto val="1"/>
        <c:lblAlgn val="ctr"/>
        <c:lblOffset val="100"/>
        <c:noMultiLvlLbl val="0"/>
      </c:catAx>
      <c:valAx>
        <c:axId val="653833816"/>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33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[Elie_Zeraoui_Sales_Analysis.xlsx]Pivot_Table1!PivotTable3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Pivot_Table1!$E$3</c:f>
              <c:strCache>
                <c:ptCount val="1"/>
                <c:pt idx="0">
                  <c:v>Total</c:v>
                </c:pt>
              </c:strCache>
            </c:strRef>
          </c:tx>
          <c:spPr>
            <a:solidFill>
              <a:schemeClr val="tx2">
                <a:lumMod val="75000"/>
                <a:lumOff val="25000"/>
              </a:schemeClr>
            </a:solidFill>
            <a:ln>
              <a:noFill/>
            </a:ln>
            <a:effectLst/>
          </c:spPr>
          <c:invertIfNegative val="0"/>
          <c:cat>
            <c:strRef>
              <c:f>Pivot_Table1!$D$4:$D$9</c:f>
              <c:strCache>
                <c:ptCount val="5"/>
                <c:pt idx="0">
                  <c:v>UAE</c:v>
                </c:pt>
                <c:pt idx="1">
                  <c:v>Lebanon</c:v>
                </c:pt>
                <c:pt idx="2">
                  <c:v>France</c:v>
                </c:pt>
                <c:pt idx="3">
                  <c:v>Canada</c:v>
                </c:pt>
                <c:pt idx="4">
                  <c:v>Germany</c:v>
                </c:pt>
              </c:strCache>
            </c:strRef>
          </c:cat>
          <c:val>
            <c:numRef>
              <c:f>Pivot_Table1!$E$4:$E$9</c:f>
              <c:numCache>
                <c:formatCode>_("$"* #,##0_);_("$"* \(#,##0\);_("$"* "-"??_);_(@_)</c:formatCode>
                <c:ptCount val="5"/>
                <c:pt idx="0">
                  <c:v>27240</c:v>
                </c:pt>
                <c:pt idx="1">
                  <c:v>20084</c:v>
                </c:pt>
                <c:pt idx="2">
                  <c:v>19196</c:v>
                </c:pt>
                <c:pt idx="3">
                  <c:v>9749</c:v>
                </c:pt>
                <c:pt idx="4">
                  <c:v>7546</c:v>
                </c:pt>
              </c:numCache>
            </c:numRef>
          </c:val>
          <c:extLst>
            <c:ext xmlns:c16="http://schemas.microsoft.com/office/drawing/2014/chart" uri="{C3380CC4-5D6E-409C-BE32-E72D297353CC}">
              <c16:uniqueId val="{00000001-6317-47CA-83E6-E088072D3599}"/>
            </c:ext>
          </c:extLst>
        </c:ser>
        <c:dLbls>
          <c:showLegendKey val="0"/>
          <c:showVal val="0"/>
          <c:showCatName val="0"/>
          <c:showSerName val="0"/>
          <c:showPercent val="0"/>
          <c:showBubbleSize val="0"/>
        </c:dLbls>
        <c:gapWidth val="219"/>
        <c:overlap val="-27"/>
        <c:axId val="657830128"/>
        <c:axId val="657829048"/>
      </c:barChart>
      <c:catAx>
        <c:axId val="657830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829048"/>
        <c:crosses val="autoZero"/>
        <c:auto val="1"/>
        <c:lblAlgn val="ctr"/>
        <c:lblOffset val="100"/>
        <c:noMultiLvlLbl val="0"/>
      </c:catAx>
      <c:valAx>
        <c:axId val="657829048"/>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83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[Elie_Zeraoui_Sales_Analysis.xlsx]Pivot_Table2!PivotTable7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Sales Representative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Pivot_Table2!$N$3:$N$4</c:f>
              <c:strCache>
                <c:ptCount val="1"/>
                <c:pt idx="0">
                  <c:v>Lebanon</c:v>
                </c:pt>
              </c:strCache>
            </c:strRef>
          </c:tx>
          <c:spPr>
            <a:solidFill>
              <a:schemeClr val="accent1"/>
            </a:solidFill>
            <a:ln>
              <a:noFill/>
            </a:ln>
            <a:effectLst/>
          </c:spPr>
          <c:invertIfNegative val="0"/>
          <c:cat>
            <c:strRef>
              <c:f>Pivot_Table2!$M$5:$M$9</c:f>
              <c:strCache>
                <c:ptCount val="4"/>
                <c:pt idx="0">
                  <c:v>Fadi Karnib</c:v>
                </c:pt>
                <c:pt idx="1">
                  <c:v>Rabih Nounani</c:v>
                </c:pt>
                <c:pt idx="2">
                  <c:v>Xana Rikz</c:v>
                </c:pt>
                <c:pt idx="3">
                  <c:v>Samer Chawlah</c:v>
                </c:pt>
              </c:strCache>
            </c:strRef>
          </c:cat>
          <c:val>
            <c:numRef>
              <c:f>Pivot_Table2!$N$5:$N$9</c:f>
              <c:numCache>
                <c:formatCode>"$"#,##0_);\("$"#,##0\)</c:formatCode>
                <c:ptCount val="4"/>
                <c:pt idx="0">
                  <c:v>18891</c:v>
                </c:pt>
                <c:pt idx="1">
                  <c:v>4341</c:v>
                </c:pt>
                <c:pt idx="2">
                  <c:v>210</c:v>
                </c:pt>
                <c:pt idx="3">
                  <c:v>-3358</c:v>
                </c:pt>
              </c:numCache>
            </c:numRef>
          </c:val>
          <c:extLst>
            <c:ext xmlns:c16="http://schemas.microsoft.com/office/drawing/2014/chart" uri="{C3380CC4-5D6E-409C-BE32-E72D297353CC}">
              <c16:uniqueId val="{00000000-E41A-4DF7-B564-A15C65DC3219}"/>
            </c:ext>
          </c:extLst>
        </c:ser>
        <c:dLbls>
          <c:showLegendKey val="0"/>
          <c:showVal val="0"/>
          <c:showCatName val="0"/>
          <c:showSerName val="0"/>
          <c:showPercent val="0"/>
          <c:showBubbleSize val="0"/>
        </c:dLbls>
        <c:gapWidth val="182"/>
        <c:axId val="656115472"/>
        <c:axId val="656112592"/>
      </c:barChart>
      <c:catAx>
        <c:axId val="6561154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12592"/>
        <c:crosses val="autoZero"/>
        <c:auto val="1"/>
        <c:lblAlgn val="ctr"/>
        <c:lblOffset val="100"/>
        <c:noMultiLvlLbl val="0"/>
      </c:catAx>
      <c:valAx>
        <c:axId val="656112592"/>
        <c:scaling>
          <c:orientation val="minMax"/>
        </c:scaling>
        <c:delete val="0"/>
        <c:axPos val="b"/>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1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195578</xdr:colOff>
      <xdr:row>9</xdr:row>
      <xdr:rowOff>85724</xdr:rowOff>
    </xdr:from>
    <xdr:to>
      <xdr:col>13</xdr:col>
      <xdr:colOff>397508</xdr:colOff>
      <xdr:row>38</xdr:row>
      <xdr:rowOff>49529</xdr:rowOff>
    </xdr:to>
    <xdr:graphicFrame macro="">
      <xdr:nvGraphicFramePr>
        <xdr:cNvPr id="2" name="Chart 1">
          <a:extLst>
            <a:ext uri="{FF2B5EF4-FFF2-40B4-BE49-F238E27FC236}">
              <a16:creationId xmlns:a16="http://schemas.microsoft.com/office/drawing/2014/main" id="{AE3112BC-1E1A-4C7B-A27E-E72524127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200659</xdr:colOff>
      <xdr:row>9</xdr:row>
      <xdr:rowOff>117474</xdr:rowOff>
    </xdr:from>
    <xdr:to>
      <xdr:col>28</xdr:col>
      <xdr:colOff>535939</xdr:colOff>
      <xdr:row>38</xdr:row>
      <xdr:rowOff>81279</xdr:rowOff>
    </xdr:to>
    <xdr:graphicFrame macro="">
      <xdr:nvGraphicFramePr>
        <xdr:cNvPr id="3" name="Chart 2">
          <a:extLst>
            <a:ext uri="{FF2B5EF4-FFF2-40B4-BE49-F238E27FC236}">
              <a16:creationId xmlns:a16="http://schemas.microsoft.com/office/drawing/2014/main" id="{5991303B-A533-4E85-8C10-B49A35991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190500</xdr:colOff>
      <xdr:row>62</xdr:row>
      <xdr:rowOff>118109</xdr:rowOff>
    </xdr:from>
    <xdr:to>
      <xdr:col>26</xdr:col>
      <xdr:colOff>470535</xdr:colOff>
      <xdr:row>107</xdr:row>
      <xdr:rowOff>85725</xdr:rowOff>
    </xdr:to>
    <xdr:graphicFrame macro="">
      <xdr:nvGraphicFramePr>
        <xdr:cNvPr id="4" name="Chart 3">
          <a:extLst>
            <a:ext uri="{FF2B5EF4-FFF2-40B4-BE49-F238E27FC236}">
              <a16:creationId xmlns:a16="http://schemas.microsoft.com/office/drawing/2014/main" id="{1D8AF4F6-5AB5-4F4E-8AE2-43ABA1F47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506729</xdr:colOff>
      <xdr:row>43</xdr:row>
      <xdr:rowOff>17144</xdr:rowOff>
    </xdr:from>
    <xdr:to>
      <xdr:col>17</xdr:col>
      <xdr:colOff>19049</xdr:colOff>
      <xdr:row>60</xdr:row>
      <xdr:rowOff>140969</xdr:rowOff>
    </xdr:to>
    <mc:AlternateContent xmlns:mc="http://schemas.openxmlformats.org/markup-compatibility/2006">
      <mc:Choice xmlns:a14="http://schemas.microsoft.com/office/drawing/2010/main" Requires="a14">
        <xdr:graphicFrame macro="">
          <xdr:nvGraphicFramePr>
            <xdr:cNvPr id="5" name="Clean_Product">
              <a:extLst>
                <a:ext uri="{FF2B5EF4-FFF2-40B4-BE49-F238E27FC236}">
                  <a16:creationId xmlns:a16="http://schemas.microsoft.com/office/drawing/2014/main" id="{E8A9BE18-15E2-B832-3A5F-141415932700}"/>
                </a:ext>
              </a:extLst>
            </xdr:cNvPr>
            <xdr:cNvGraphicFramePr/>
          </xdr:nvGraphicFramePr>
          <xdr:xfrm>
            <a:off x="0" y="0"/>
            <a:ext cx="0" cy="0"/>
          </xdr:xfrm>
          <a:graphic>
            <a:graphicData uri="http://schemas.microsoft.com/office/drawing/2010/slicer">
              <sle:slicer xmlns:sle="http://schemas.microsoft.com/office/drawing/2010/slicer" name="Clean_Product"/>
            </a:graphicData>
          </a:graphic>
        </xdr:graphicFrame>
      </mc:Choice>
      <mc:Fallback>
        <xdr:sp macro="" textlink="">
          <xdr:nvSpPr>
            <xdr:cNvPr id="0" name=""/>
            <xdr:cNvSpPr>
              <a:spLocks noTextEdit="1"/>
            </xdr:cNvSpPr>
          </xdr:nvSpPr>
          <xdr:spPr>
            <a:xfrm>
              <a:off x="8571229" y="7954644"/>
              <a:ext cx="2560320" cy="314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190501</xdr:colOff>
      <xdr:row>43</xdr:row>
      <xdr:rowOff>7619</xdr:rowOff>
    </xdr:from>
    <xdr:to>
      <xdr:col>8</xdr:col>
      <xdr:colOff>312421</xdr:colOff>
      <xdr:row>60</xdr:row>
      <xdr:rowOff>131444</xdr:rowOff>
    </xdr:to>
    <mc:AlternateContent xmlns:mc="http://schemas.openxmlformats.org/markup-compatibility/2006">
      <mc:Choice xmlns:a14="http://schemas.microsoft.com/office/drawing/2010/main" Requires="a14">
        <xdr:graphicFrame macro="">
          <xdr:nvGraphicFramePr>
            <xdr:cNvPr id="6" name="Clean_Category">
              <a:extLst>
                <a:ext uri="{FF2B5EF4-FFF2-40B4-BE49-F238E27FC236}">
                  <a16:creationId xmlns:a16="http://schemas.microsoft.com/office/drawing/2014/main" id="{DD3ED3BD-CAB2-157A-6CCE-A6EFF0CF3E4E}"/>
                </a:ext>
              </a:extLst>
            </xdr:cNvPr>
            <xdr:cNvGraphicFramePr/>
          </xdr:nvGraphicFramePr>
          <xdr:xfrm>
            <a:off x="0" y="0"/>
            <a:ext cx="0" cy="0"/>
          </xdr:xfrm>
          <a:graphic>
            <a:graphicData uri="http://schemas.microsoft.com/office/drawing/2010/slicer">
              <sle:slicer xmlns:sle="http://schemas.microsoft.com/office/drawing/2010/slicer" name="Clean_Category"/>
            </a:graphicData>
          </a:graphic>
        </xdr:graphicFrame>
      </mc:Choice>
      <mc:Fallback>
        <xdr:sp macro="" textlink="">
          <xdr:nvSpPr>
            <xdr:cNvPr id="0" name=""/>
            <xdr:cNvSpPr>
              <a:spLocks noTextEdit="1"/>
            </xdr:cNvSpPr>
          </xdr:nvSpPr>
          <xdr:spPr>
            <a:xfrm>
              <a:off x="2628901" y="7945119"/>
              <a:ext cx="2560320" cy="314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123824</xdr:colOff>
      <xdr:row>43</xdr:row>
      <xdr:rowOff>17144</xdr:rowOff>
    </xdr:from>
    <xdr:to>
      <xdr:col>12</xdr:col>
      <xdr:colOff>112394</xdr:colOff>
      <xdr:row>60</xdr:row>
      <xdr:rowOff>140969</xdr:rowOff>
    </xdr:to>
    <mc:AlternateContent xmlns:mc="http://schemas.openxmlformats.org/markup-compatibility/2006">
      <mc:Choice xmlns:a14="http://schemas.microsoft.com/office/drawing/2010/main" Requires="a14">
        <xdr:graphicFrame macro="">
          <xdr:nvGraphicFramePr>
            <xdr:cNvPr id="7" name="Clean_Country">
              <a:extLst>
                <a:ext uri="{FF2B5EF4-FFF2-40B4-BE49-F238E27FC236}">
                  <a16:creationId xmlns:a16="http://schemas.microsoft.com/office/drawing/2014/main" id="{1D1B3DE5-F0C0-CDA9-615F-9A89737224CE}"/>
                </a:ext>
              </a:extLst>
            </xdr:cNvPr>
            <xdr:cNvGraphicFramePr/>
          </xdr:nvGraphicFramePr>
          <xdr:xfrm>
            <a:off x="0" y="0"/>
            <a:ext cx="0" cy="0"/>
          </xdr:xfrm>
          <a:graphic>
            <a:graphicData uri="http://schemas.microsoft.com/office/drawing/2010/slicer">
              <sle:slicer xmlns:sle="http://schemas.microsoft.com/office/drawing/2010/slicer" name="Clean_Country"/>
            </a:graphicData>
          </a:graphic>
        </xdr:graphicFrame>
      </mc:Choice>
      <mc:Fallback>
        <xdr:sp macro="" textlink="">
          <xdr:nvSpPr>
            <xdr:cNvPr id="0" name=""/>
            <xdr:cNvSpPr>
              <a:spLocks noTextEdit="1"/>
            </xdr:cNvSpPr>
          </xdr:nvSpPr>
          <xdr:spPr>
            <a:xfrm>
              <a:off x="5610224" y="7954644"/>
              <a:ext cx="2566670" cy="314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24492</xdr:colOff>
      <xdr:row>4</xdr:row>
      <xdr:rowOff>102962</xdr:rowOff>
    </xdr:from>
    <xdr:ext cx="1638300" cy="581026"/>
    <xdr:sp macro="" textlink="Pivot_Table2!S13">
      <xdr:nvSpPr>
        <xdr:cNvPr id="8" name="TextBox 7">
          <a:extLst>
            <a:ext uri="{FF2B5EF4-FFF2-40B4-BE49-F238E27FC236}">
              <a16:creationId xmlns:a16="http://schemas.microsoft.com/office/drawing/2014/main" id="{4969DB39-24BE-2400-5D1B-9B2EF361DDD1}"/>
            </a:ext>
          </a:extLst>
        </xdr:cNvPr>
        <xdr:cNvSpPr txBox="1"/>
      </xdr:nvSpPr>
      <xdr:spPr>
        <a:xfrm>
          <a:off x="634092" y="1106262"/>
          <a:ext cx="1638300" cy="5810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4652BD3-739D-41F7-A324-53AF6F23FA67}" type="TxLink">
            <a:rPr lang="en-US" sz="2400" b="1" i="0" u="none" strike="noStrike">
              <a:solidFill>
                <a:srgbClr val="000000"/>
              </a:solidFill>
              <a:latin typeface="Aptos Narrow"/>
            </a:rPr>
            <a:t> $20,084 </a:t>
          </a:fld>
          <a:endParaRPr lang="en-US" sz="2400" b="1" i="0" u="none" strike="noStrike">
            <a:solidFill>
              <a:srgbClr val="000000"/>
            </a:solidFill>
            <a:latin typeface="Aptos Narrow"/>
          </a:endParaRPr>
        </a:p>
      </xdr:txBody>
    </xdr:sp>
    <xdr:clientData/>
  </xdr:oneCellAnchor>
  <xdr:oneCellAnchor>
    <xdr:from>
      <xdr:col>0</xdr:col>
      <xdr:colOff>499383</xdr:colOff>
      <xdr:row>2</xdr:row>
      <xdr:rowOff>53066</xdr:rowOff>
    </xdr:from>
    <xdr:ext cx="2171700" cy="476251"/>
    <xdr:sp macro="" textlink="">
      <xdr:nvSpPr>
        <xdr:cNvPr id="9" name="TextBox 8">
          <a:extLst>
            <a:ext uri="{FF2B5EF4-FFF2-40B4-BE49-F238E27FC236}">
              <a16:creationId xmlns:a16="http://schemas.microsoft.com/office/drawing/2014/main" id="{E8A24CD7-C380-0EAB-E397-C595306F87AC}"/>
            </a:ext>
          </a:extLst>
        </xdr:cNvPr>
        <xdr:cNvSpPr txBox="1"/>
      </xdr:nvSpPr>
      <xdr:spPr>
        <a:xfrm>
          <a:off x="499383" y="706209"/>
          <a:ext cx="2171700" cy="4762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t>Total Revenue</a:t>
          </a:r>
        </a:p>
      </xdr:txBody>
    </xdr:sp>
    <xdr:clientData/>
  </xdr:oneCellAnchor>
  <xdr:oneCellAnchor>
    <xdr:from>
      <xdr:col>19</xdr:col>
      <xdr:colOff>68036</xdr:colOff>
      <xdr:row>1</xdr:row>
      <xdr:rowOff>108857</xdr:rowOff>
    </xdr:from>
    <xdr:ext cx="2343150" cy="542925"/>
    <xdr:sp macro="" textlink="">
      <xdr:nvSpPr>
        <xdr:cNvPr id="10" name="TextBox 9">
          <a:extLst>
            <a:ext uri="{FF2B5EF4-FFF2-40B4-BE49-F238E27FC236}">
              <a16:creationId xmlns:a16="http://schemas.microsoft.com/office/drawing/2014/main" id="{3512B3CA-730F-57AE-8F01-85EBD12051E5}"/>
            </a:ext>
          </a:extLst>
        </xdr:cNvPr>
        <xdr:cNvSpPr txBox="1"/>
      </xdr:nvSpPr>
      <xdr:spPr>
        <a:xfrm>
          <a:off x="12401550" y="576943"/>
          <a:ext cx="2343150" cy="542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Top Sales Rep</a:t>
          </a:r>
        </a:p>
      </xdr:txBody>
    </xdr:sp>
    <xdr:clientData/>
  </xdr:oneCellAnchor>
  <xdr:oneCellAnchor>
    <xdr:from>
      <xdr:col>19</xdr:col>
      <xdr:colOff>57150</xdr:colOff>
      <xdr:row>5</xdr:row>
      <xdr:rowOff>74386</xdr:rowOff>
    </xdr:from>
    <xdr:ext cx="1943099" cy="436009"/>
    <xdr:sp macro="" textlink="Pivot_Table2!T5">
      <xdr:nvSpPr>
        <xdr:cNvPr id="11" name="TextBox 10">
          <a:extLst>
            <a:ext uri="{FF2B5EF4-FFF2-40B4-BE49-F238E27FC236}">
              <a16:creationId xmlns:a16="http://schemas.microsoft.com/office/drawing/2014/main" id="{267132D3-848A-EAEF-93D3-9BD1733E9BF1}"/>
            </a:ext>
          </a:extLst>
        </xdr:cNvPr>
        <xdr:cNvSpPr txBox="1"/>
      </xdr:nvSpPr>
      <xdr:spPr>
        <a:xfrm>
          <a:off x="12388850" y="1255486"/>
          <a:ext cx="1943099" cy="4360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2A35EAC-3934-4804-811C-C0BCB6EA9673}" type="TxLink">
            <a:rPr lang="en-US" sz="2400" b="1" i="0" u="none" strike="noStrike">
              <a:solidFill>
                <a:srgbClr val="000000"/>
              </a:solidFill>
              <a:latin typeface="Aptos Narrow"/>
            </a:rPr>
            <a:t> $18,891 </a:t>
          </a:fld>
          <a:endParaRPr lang="en-US" sz="2400" b="1"/>
        </a:p>
      </xdr:txBody>
    </xdr:sp>
    <xdr:clientData/>
  </xdr:oneCellAnchor>
  <xdr:oneCellAnchor>
    <xdr:from>
      <xdr:col>18</xdr:col>
      <xdr:colOff>544286</xdr:colOff>
      <xdr:row>9</xdr:row>
      <xdr:rowOff>0</xdr:rowOff>
    </xdr:from>
    <xdr:ext cx="184731" cy="264560"/>
    <xdr:sp macro="" textlink="">
      <xdr:nvSpPr>
        <xdr:cNvPr id="13" name="TextBox 12">
          <a:extLst>
            <a:ext uri="{FF2B5EF4-FFF2-40B4-BE49-F238E27FC236}">
              <a16:creationId xmlns:a16="http://schemas.microsoft.com/office/drawing/2014/main" id="{4563F945-8A8E-ED1A-62DD-C7865DA53CE3}"/>
            </a:ext>
          </a:extLst>
        </xdr:cNvPr>
        <xdr:cNvSpPr txBox="1"/>
      </xdr:nvSpPr>
      <xdr:spPr>
        <a:xfrm>
          <a:off x="12268200" y="19485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19</xdr:col>
      <xdr:colOff>105229</xdr:colOff>
      <xdr:row>3</xdr:row>
      <xdr:rowOff>92530</xdr:rowOff>
    </xdr:from>
    <xdr:ext cx="1600200" cy="544284"/>
    <xdr:sp macro="" textlink="Pivot_Table2!M5">
      <xdr:nvSpPr>
        <xdr:cNvPr id="14" name="TextBox 13">
          <a:extLst>
            <a:ext uri="{FF2B5EF4-FFF2-40B4-BE49-F238E27FC236}">
              <a16:creationId xmlns:a16="http://schemas.microsoft.com/office/drawing/2014/main" id="{5E395253-FD58-EDBB-7A26-A9A3F43B4D37}"/>
            </a:ext>
          </a:extLst>
        </xdr:cNvPr>
        <xdr:cNvSpPr txBox="1"/>
      </xdr:nvSpPr>
      <xdr:spPr>
        <a:xfrm>
          <a:off x="12436929" y="918030"/>
          <a:ext cx="1600200" cy="544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8543262-E943-4CE2-88C6-62B8B3EE0479}" type="TxLink">
            <a:rPr lang="en-US" sz="2000" b="1" i="0" u="none" strike="noStrike">
              <a:solidFill>
                <a:srgbClr val="000000"/>
              </a:solidFill>
              <a:latin typeface="Aptos Narrow"/>
            </a:rPr>
            <a:t>Fadi Karnib</a:t>
          </a:fld>
          <a:endParaRPr lang="en-US" sz="2000" b="1"/>
        </a:p>
      </xdr:txBody>
    </xdr:sp>
    <xdr:clientData/>
  </xdr:oneCellAnchor>
</xdr:wsDr>
</file>

<file path=xl/drawings/drawing2.xml><?xml version="1.0" encoding="utf-8"?>
<c:userShapes xmlns:c="http://schemas.openxmlformats.org/drawingml/2006/chart">
  <cdr:relSizeAnchor xmlns:cdr="http://schemas.openxmlformats.org/drawingml/2006/chartDrawing">
    <cdr:from>
      <cdr:x>0.47189</cdr:x>
      <cdr:y>0.44364</cdr:y>
    </cdr:from>
    <cdr:to>
      <cdr:x>0.52811</cdr:x>
      <cdr:y>0.55636</cdr:y>
    </cdr:to>
    <cdr:sp macro="" textlink="">
      <cdr:nvSpPr>
        <cdr:cNvPr id="2" name="TextBox 1">
          <a:extLst xmlns:a="http://schemas.openxmlformats.org/drawingml/2006/main">
            <a:ext uri="{FF2B5EF4-FFF2-40B4-BE49-F238E27FC236}">
              <a16:creationId xmlns:a16="http://schemas.microsoft.com/office/drawing/2014/main" id="{B4452DB3-B2BE-92E9-70A6-903318F820C8}"/>
            </a:ext>
          </a:extLst>
        </cdr:cNvPr>
        <cdr:cNvSpPr txBox="1"/>
      </cdr:nvSpPr>
      <cdr:spPr>
        <a:xfrm xmlns:a="http://schemas.openxmlformats.org/drawingml/2006/main">
          <a:off x="7674292" y="359854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817258564814" createdVersion="8" refreshedVersion="8" minRefreshableVersion="3" recordCount="50" xr:uid="{4EE5D11B-9685-4715-88BF-BAF86E4BD358}">
  <cacheSource type="worksheet">
    <worksheetSource name="Table1"/>
  </cacheSource>
  <cacheFields count="29">
    <cacheField name="OrderID" numFmtId="0">
      <sharedItems/>
    </cacheField>
    <cacheField name="OrderDate" numFmtId="0">
      <sharedItems containsDate="1" containsBlank="1" containsMixedTypes="1" minDate="2023-02-01T00:00:00" maxDate="2026-02-03T00:00:00"/>
    </cacheField>
    <cacheField name="Clean_OrderDate" numFmtId="0">
      <sharedItems containsDate="1" containsBlank="1" containsMixedTypes="1" minDate="2022-09-28T00:00:00" maxDate="2026-02-03T00:00:00"/>
    </cacheField>
    <cacheField name="CustomerName" numFmtId="0">
      <sharedItems containsBlank="1"/>
    </cacheField>
    <cacheField name="Clean_CustomerName" numFmtId="0">
      <sharedItems/>
    </cacheField>
    <cacheField name="Product" numFmtId="0">
      <sharedItems/>
    </cacheField>
    <cacheField name="Clean_Product" numFmtId="0">
      <sharedItems count="23">
        <s v="Keyboard"/>
        <s v="Headset"/>
        <s v="Mouse"/>
        <s v="iPhone 17"/>
        <s v="HDMI Cable"/>
        <s v="HP Laptop"/>
        <s v="Office Chair"/>
        <s v="Nike Shoes"/>
        <s v="Zara Jacket"/>
        <s v="LG Smart TV"/>
        <s v="Macbook Air"/>
        <s v="Air Conditioner"/>
        <s v="Water Heater"/>
        <s v="Blender"/>
        <s v="iPhone 15"/>
        <s v="iPad Pro"/>
        <s v="Dumbells"/>
        <s v="Dell Laptop"/>
        <s v="Samsung TV"/>
        <s v="Puma Hoodie"/>
        <s v="Wireless Mouse"/>
        <s v="Running Shoes"/>
        <s v="Gaming Chair"/>
      </sharedItems>
    </cacheField>
    <cacheField name="Category" numFmtId="0">
      <sharedItems containsBlank="1" containsMixedTypes="1" containsNumber="1" containsInteger="1" minValue="123" maxValue="123"/>
    </cacheField>
    <cacheField name="Clean_Category" numFmtId="0">
      <sharedItems count="5">
        <s v="Electronics"/>
        <s v="Furniture"/>
        <s v="Apparel"/>
        <s v="Appliances"/>
        <s v="Sports"/>
      </sharedItems>
    </cacheField>
    <cacheField name="Country" numFmtId="0">
      <sharedItems/>
    </cacheField>
    <cacheField name="Clean_Country" numFmtId="0">
      <sharedItems count="5">
        <s v="Lebanon"/>
        <s v="UAE"/>
        <s v="France"/>
        <s v="Canada"/>
        <s v="Germany"/>
      </sharedItems>
    </cacheField>
    <cacheField name="Region" numFmtId="0">
      <sharedItems/>
    </cacheField>
    <cacheField name="Clean_Region" numFmtId="0">
      <sharedItems/>
    </cacheField>
    <cacheField name="SalesRep" numFmtId="0">
      <sharedItems/>
    </cacheField>
    <cacheField name="Clean_SalesRep" numFmtId="0">
      <sharedItems count="7">
        <s v="Samer Chawlah"/>
        <s v="Dimitri Ksara"/>
        <s v="Perla Yunani"/>
        <s v="Xana Rikz"/>
        <s v="Fadi Karnib"/>
        <s v="Joanne Salameh"/>
        <s v="Rabih Nounani"/>
      </sharedItems>
    </cacheField>
    <cacheField name="Quantity" numFmtId="0">
      <sharedItems containsString="0" containsBlank="1" containsNumber="1" containsInteger="1" minValue="-4" maxValue="72"/>
    </cacheField>
    <cacheField name="Clean_Quantity" numFmtId="0">
      <sharedItems containsSemiMixedTypes="0" containsString="0" containsNumber="1" containsInteger="1" minValue="-4" maxValue="72"/>
    </cacheField>
    <cacheField name="UnitPrice" numFmtId="43">
      <sharedItems containsMixedTypes="1" containsNumber="1" containsInteger="1" minValue="-400" maxValue="2424"/>
    </cacheField>
    <cacheField name="Clean_UnitPrice" numFmtId="164">
      <sharedItems containsSemiMixedTypes="0" containsString="0" containsNumber="1" containsInteger="1" minValue="-400" maxValue="2424"/>
    </cacheField>
    <cacheField name="UnitCost" numFmtId="0">
      <sharedItems containsMixedTypes="1" containsNumber="1" containsInteger="1" minValue="7" maxValue="1650"/>
    </cacheField>
    <cacheField name="Clean_UnitCost" numFmtId="0">
      <sharedItems containsSemiMixedTypes="0" containsString="0" containsNumber="1" containsInteger="1" minValue="2" maxValue="1650"/>
    </cacheField>
    <cacheField name="Revenue" numFmtId="0">
      <sharedItems containsMixedTypes="1" containsNumber="1" containsInteger="1" minValue="-10000" maxValue="15500"/>
    </cacheField>
    <cacheField name="Clean_Revenue" numFmtId="164">
      <sharedItems containsSemiMixedTypes="0" containsString="0" containsNumber="1" containsInteger="1" minValue="-10000" maxValue="15500"/>
    </cacheField>
    <cacheField name="TotalCost" numFmtId="0">
      <sharedItems containsMixedTypes="1" containsNumber="1" containsInteger="1" minValue="-3600" maxValue="16500"/>
    </cacheField>
    <cacheField name="Clean_TotalCost" numFmtId="164">
      <sharedItems containsSemiMixedTypes="0" containsString="0" containsNumber="1" containsInteger="1" minValue="-3600" maxValue="16500"/>
    </cacheField>
    <cacheField name="Profit" numFmtId="0">
      <sharedItems containsMixedTypes="1" containsNumber="1" minValue="-1.8181818181818181" maxValue="6.1111111111111107"/>
    </cacheField>
    <cacheField name="Clean_Profit" numFmtId="164">
      <sharedItems containsSemiMixedTypes="0" containsString="0" containsNumber="1" minValue="-1.8181818181818181" maxValue="6.1111111111111107"/>
    </cacheField>
    <cacheField name="ProfitMargin" numFmtId="0">
      <sharedItems containsMixedTypes="1" containsNumber="1" minValue="-2.7777777777777778E-4" maxValue="5.5555555555555552E-2"/>
    </cacheField>
    <cacheField name="Clean_ProfitMargin" numFmtId="44">
      <sharedItems containsSemiMixedTypes="0" containsString="0" containsNumber="1" minValue="-2.7777777777777778E-4" maxValue="0.5"/>
    </cacheField>
  </cacheFields>
  <extLst>
    <ext xmlns:x14="http://schemas.microsoft.com/office/spreadsheetml/2009/9/main" uri="{725AE2AE-9491-48be-B2B4-4EB974FC3084}">
      <x14:pivotCacheDefinition pivotCacheId="229135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1001"/>
    <s v="17/4/2022"/>
    <s v="17/4/2022"/>
    <s v="John smith"/>
    <s v="John Smith"/>
    <s v="Keyboard"/>
    <x v="0"/>
    <s v="Electronics"/>
    <x v="0"/>
    <s v="Lebanon"/>
    <x v="0"/>
    <s v="Middle east"/>
    <s v="Middle East"/>
    <s v="Samer Chawlah"/>
    <x v="0"/>
    <n v="10"/>
    <n v="10"/>
    <n v="25"/>
    <n v="25"/>
    <n v="9"/>
    <n v="9"/>
    <n v="250"/>
    <n v="250"/>
    <n v="90"/>
    <n v="90"/>
    <n v="2.7777777777777777"/>
    <n v="2.7777777777777777"/>
    <n v="1.1111111111111112E-2"/>
    <n v="1.1111111111111112E-2"/>
  </r>
  <r>
    <s v="ORD1002"/>
    <s v="18/4/2022"/>
    <s v="18/4/2022"/>
    <s v="Jhon SMIT"/>
    <s v="Jhon Smit"/>
    <s v="Headset"/>
    <x v="1"/>
    <s v="Electroncs"/>
    <x v="0"/>
    <s v="UAE"/>
    <x v="1"/>
    <s v="Middle east"/>
    <s v="Middle East"/>
    <s v="Samer      chawlah"/>
    <x v="0"/>
    <n v="5"/>
    <n v="5"/>
    <s v="55$"/>
    <n v="55"/>
    <n v="15"/>
    <n v="15"/>
    <e v="#VALUE!"/>
    <n v="275"/>
    <n v="75"/>
    <n v="75"/>
    <e v="#VALUE!"/>
    <n v="3.6666666666666665"/>
    <e v="#VALUE!"/>
    <n v="1.3333333333333332E-2"/>
  </r>
  <r>
    <s v="ORD1003"/>
    <s v="22/5/2022"/>
    <s v="22/5/2022"/>
    <s v="Carol demerjian"/>
    <s v="Carol Demerjian"/>
    <s v="Mouse"/>
    <x v="2"/>
    <s v="Electronics"/>
    <x v="0"/>
    <s v="France"/>
    <x v="2"/>
    <s v="Europe"/>
    <s v="Europe"/>
    <s v="Dimitri ksara"/>
    <x v="1"/>
    <n v="3"/>
    <n v="3"/>
    <n v="22"/>
    <n v="22"/>
    <n v="9"/>
    <n v="9"/>
    <n v="66"/>
    <n v="66"/>
    <n v="27"/>
    <n v="27"/>
    <n v="2.4444444444444446"/>
    <n v="2.4444444444444446"/>
    <n v="3.7037037037037042E-2"/>
    <n v="3.7037037037037042E-2"/>
  </r>
  <r>
    <s v="ORD1004"/>
    <s v="25/5/2022"/>
    <s v="25/5/2022"/>
    <s v="elie Tondaro"/>
    <s v="Elie Tondaro"/>
    <s v="mouse "/>
    <x v="2"/>
    <s v="         Electronics"/>
    <x v="0"/>
    <s v="Lebanon"/>
    <x v="0"/>
    <s v="Middle east"/>
    <s v="Middle East"/>
    <s v="Samer Chawlah"/>
    <x v="0"/>
    <n v="5"/>
    <n v="5"/>
    <n v="18"/>
    <n v="18"/>
    <n v="9"/>
    <n v="9"/>
    <n v="90"/>
    <n v="90"/>
    <n v="45"/>
    <n v="45"/>
    <n v="2"/>
    <n v="2"/>
    <n v="2.2222222222222223E-2"/>
    <n v="2.2222222222222223E-2"/>
  </r>
  <r>
    <s v="ORD1005"/>
    <s v="27/8/2022"/>
    <s v="27/8/2022"/>
    <s v="      Fouad koussa"/>
    <s v="Fouad Koussa"/>
    <s v="   iphone 17 "/>
    <x v="3"/>
    <s v="Electronics"/>
    <x v="0"/>
    <s v="Lebanon"/>
    <x v="0"/>
    <s v="Middle east"/>
    <s v="Middle East"/>
    <s v="Samer Chawlah"/>
    <x v="0"/>
    <n v="-4"/>
    <n v="-4"/>
    <n v="1450"/>
    <n v="1450"/>
    <n v="900"/>
    <n v="900"/>
    <n v="-5800"/>
    <n v="-5800"/>
    <n v="-3600"/>
    <n v="-3600"/>
    <n v="1.6111111111111112"/>
    <n v="1.6111111111111112"/>
    <n v="-2.7777777777777778E-4"/>
    <n v="-2.7777777777777778E-4"/>
  </r>
  <r>
    <s v="ORD1006"/>
    <s v="Wednesday, September 28, 2022"/>
    <d v="2022-09-28T00:00:00"/>
    <s v="Rabih Trabulsi    "/>
    <s v="Rabih Trabulsi"/>
    <s v="HDMI Cable"/>
    <x v="4"/>
    <s v="Electronics"/>
    <x v="0"/>
    <s v="canada"/>
    <x v="3"/>
    <s v="North America"/>
    <s v="North America"/>
    <s v="Perla Yunani"/>
    <x v="2"/>
    <n v="1"/>
    <n v="1"/>
    <n v="9"/>
    <n v="9"/>
    <s v="2$"/>
    <n v="2"/>
    <n v="9"/>
    <n v="9"/>
    <e v="#VALUE!"/>
    <n v="2"/>
    <e v="#VALUE!"/>
    <n v="4.5"/>
    <e v="#VALUE!"/>
    <n v="0.5"/>
  </r>
  <r>
    <s v="ORD1007"/>
    <s v="25/12/2022"/>
    <s v="25/12/2022"/>
    <s v="Nouhade HAROUCH"/>
    <s v="Nouhade Harouch"/>
    <s v="HP Laptop"/>
    <x v="5"/>
    <s v="Electronics"/>
    <x v="0"/>
    <s v="U.A.E"/>
    <x v="1"/>
    <s v="Middle east"/>
    <s v="Middle East"/>
    <s v="Samer Chawlah"/>
    <x v="0"/>
    <n v="2"/>
    <n v="2"/>
    <n v="1400"/>
    <n v="1400"/>
    <n v="1100"/>
    <n v="1100"/>
    <n v="2800"/>
    <n v="2800"/>
    <n v="2200"/>
    <n v="2200"/>
    <n v="1.2727272727272727"/>
    <n v="1.2727272727272727"/>
    <n v="4.5454545454545455E-4"/>
    <n v="4.5454545454545455E-4"/>
  </r>
  <r>
    <s v="ORD1008"/>
    <d v="2023-02-01T00:00:00"/>
    <d v="2023-02-01T00:00:00"/>
    <s v="christine sawaya"/>
    <s v="Christine Sawaya"/>
    <s v="Office Chair"/>
    <x v="6"/>
    <s v="Furniture"/>
    <x v="1"/>
    <s v="Frnace"/>
    <x v="2"/>
    <s v="Europe        "/>
    <s v="Europe"/>
    <s v="Xana Rikz"/>
    <x v="3"/>
    <n v="1"/>
    <n v="1"/>
    <n v="250"/>
    <n v="250"/>
    <n v="80"/>
    <n v="80"/>
    <n v="250"/>
    <n v="250"/>
    <n v="80"/>
    <n v="80"/>
    <n v="3.125"/>
    <n v="3.125"/>
    <n v="1.2500000000000001E-2"/>
    <n v="1.2500000000000001E-2"/>
  </r>
  <r>
    <s v="ORD1009"/>
    <d v="2023-03-03T00:00:00"/>
    <d v="2023-03-03T00:00:00"/>
    <s v="jawad ilawi"/>
    <s v="Jawad Ilawi"/>
    <s v="iphone 17"/>
    <x v="3"/>
    <s v="                 Electronics"/>
    <x v="0"/>
    <s v="Lebanon"/>
    <x v="0"/>
    <s v="Middle east"/>
    <s v="Middle East"/>
    <s v="Fadi Karnib"/>
    <x v="4"/>
    <n v="10"/>
    <n v="10"/>
    <n v="1550"/>
    <n v="1550"/>
    <n v="1650"/>
    <n v="1650"/>
    <n v="15500"/>
    <n v="15500"/>
    <n v="16500"/>
    <n v="16500"/>
    <n v="0.93939393939393945"/>
    <n v="0.93939393939393945"/>
    <n v="6.0606060606060611E-5"/>
    <n v="6.0606060606060611E-5"/>
  </r>
  <r>
    <s v="ORD1010"/>
    <s v="Monday, March 20, 2023"/>
    <d v="2023-03-20T00:00:00"/>
    <s v="Anthony Rawah"/>
    <s v="Anthony Rawah"/>
    <s v="Nike Shoes"/>
    <x v="7"/>
    <s v="Apparel"/>
    <x v="2"/>
    <s v="Lebanon"/>
    <x v="0"/>
    <s v="Europe"/>
    <s v="Middle East"/>
    <s v="Xana Rikz"/>
    <x v="3"/>
    <n v="2"/>
    <n v="2"/>
    <n v="105"/>
    <n v="105"/>
    <n v="50"/>
    <n v="50"/>
    <n v="210"/>
    <n v="210"/>
    <n v="100"/>
    <n v="100"/>
    <n v="2.1"/>
    <n v="2.1"/>
    <n v="0.01"/>
    <n v="0.01"/>
  </r>
  <r>
    <s v="ORD1011"/>
    <m/>
    <m/>
    <s v="Jad BISo"/>
    <s v="Jad Biso"/>
    <s v="ZARA jacket"/>
    <x v="8"/>
    <n v="123"/>
    <x v="2"/>
    <s v="UAE"/>
    <x v="1"/>
    <s v="Middle east"/>
    <s v="Middle East"/>
    <s v="joanne salameh"/>
    <x v="5"/>
    <n v="1"/>
    <n v="1"/>
    <n v="190"/>
    <n v="190"/>
    <n v="40"/>
    <n v="40"/>
    <n v="190"/>
    <n v="190"/>
    <n v="40"/>
    <n v="40"/>
    <n v="4.75"/>
    <n v="4.75"/>
    <n v="2.5000000000000001E-2"/>
    <n v="2.5000000000000001E-2"/>
  </r>
  <r>
    <s v="ORD1012"/>
    <m/>
    <m/>
    <s v="Sonia     Tuni"/>
    <s v="Sonia Tuni"/>
    <s v="LG Smart TV"/>
    <x v="9"/>
    <s v="Electonics"/>
    <x v="0"/>
    <s v="France"/>
    <x v="2"/>
    <s v="Europe"/>
    <s v="Europe"/>
    <s v="Dimitri ksara"/>
    <x v="1"/>
    <m/>
    <n v="0"/>
    <s v="450,00"/>
    <n v="450"/>
    <n v="299"/>
    <n v="299"/>
    <e v="#VALUE!"/>
    <n v="0"/>
    <n v="0"/>
    <n v="0"/>
    <e v="#VALUE!"/>
    <n v="0"/>
    <e v="#VALUE!"/>
    <n v="0"/>
  </r>
  <r>
    <s v="ORD1013"/>
    <s v="17/5/2023"/>
    <s v="17/5/2023"/>
    <s v="fraky buni   "/>
    <s v="Fraky Buni"/>
    <s v="MacBook Air"/>
    <x v="10"/>
    <s v="               Electronics"/>
    <x v="0"/>
    <s v="Lebanon"/>
    <x v="0"/>
    <s v="Middle east"/>
    <s v="Middle East"/>
    <s v="Samer Chawlah"/>
    <x v="0"/>
    <n v="0"/>
    <n v="0"/>
    <n v="2424"/>
    <n v="2424"/>
    <n v="1212"/>
    <n v="1212"/>
    <n v="0"/>
    <n v="0"/>
    <n v="0"/>
    <n v="0"/>
    <e v="#DIV/0!"/>
    <n v="0"/>
    <e v="#DIV/0!"/>
    <n v="0"/>
  </r>
  <r>
    <s v="ORD1014"/>
    <s v="19/5/2023"/>
    <s v="19/5/2023"/>
    <s v="               Toni Eid"/>
    <s v="Toni Eid"/>
    <s v="Air Conditioner"/>
    <x v="11"/>
    <s v="Appliances"/>
    <x v="3"/>
    <s v="Lebanon"/>
    <x v="0"/>
    <s v="Middle east"/>
    <s v="Middle East"/>
    <s v="Samer Chawlah"/>
    <x v="0"/>
    <n v="3"/>
    <n v="3"/>
    <s v="330$"/>
    <n v="330"/>
    <n v="225"/>
    <n v="225"/>
    <e v="#VALUE!"/>
    <n v="990"/>
    <n v="675"/>
    <n v="675"/>
    <e v="#VALUE!"/>
    <n v="1.4666666666666666"/>
    <e v="#VALUE!"/>
    <n v="1.4814814814814814E-3"/>
  </r>
  <r>
    <s v="ORD1015"/>
    <s v="20/9/2024"/>
    <s v="20/9/2024"/>
    <s v="Ella        Donuawi"/>
    <s v="Ella Donuawi"/>
    <s v="Water    Heater"/>
    <x v="12"/>
    <m/>
    <x v="3"/>
    <s v="canada"/>
    <x v="3"/>
    <s v="North America"/>
    <s v="North America"/>
    <s v="Perla Yunani"/>
    <x v="2"/>
    <n v="1"/>
    <n v="1"/>
    <n v="140"/>
    <n v="140"/>
    <n v="54"/>
    <n v="54"/>
    <n v="140"/>
    <n v="140"/>
    <n v="54"/>
    <n v="54"/>
    <n v="2.5925925925925926"/>
    <n v="2.5925925925925926"/>
    <n v="1.8518518518518517E-2"/>
    <n v="1.8518518518518517E-2"/>
  </r>
  <r>
    <s v="ORD1016"/>
    <s v="Friday, November 1, 2024"/>
    <d v="2024-11-01T00:00:00"/>
    <s v="Tony Donia"/>
    <s v="Tony Donia"/>
    <s v="Mouse"/>
    <x v="2"/>
    <s v="Electronics"/>
    <x v="0"/>
    <s v="U.A.E"/>
    <x v="1"/>
    <s v="Middle east"/>
    <s v="Middle East"/>
    <s v="Samer Chawlah"/>
    <x v="0"/>
    <n v="8"/>
    <n v="8"/>
    <n v="28"/>
    <n v="28"/>
    <n v="9"/>
    <n v="9"/>
    <n v="224"/>
    <n v="224"/>
    <n v="72"/>
    <n v="72"/>
    <n v="3.1111111111111112"/>
    <n v="3.1111111111111112"/>
    <n v="1.388888888888889E-2"/>
    <n v="1.388888888888889E-2"/>
  </r>
  <r>
    <s v="ORD1017"/>
    <s v="Friday, November 1, 2024"/>
    <d v="2024-11-01T00:00:00"/>
    <s v="Tony Donia"/>
    <s v="Tony Donia"/>
    <s v="Blender"/>
    <x v="13"/>
    <s v="N/A"/>
    <x v="3"/>
    <s v="Frnace"/>
    <x v="2"/>
    <s v="Europe"/>
    <s v="Europe"/>
    <s v="Dimitri ksara"/>
    <x v="1"/>
    <n v="1"/>
    <n v="1"/>
    <n v="110"/>
    <n v="110"/>
    <n v="75"/>
    <n v="75"/>
    <n v="110"/>
    <n v="110"/>
    <n v="75"/>
    <n v="75"/>
    <n v="1.4666666666666666"/>
    <n v="1.4666666666666666"/>
    <n v="1.3333333333333332E-2"/>
    <n v="1.3333333333333332E-2"/>
  </r>
  <r>
    <s v="ORD1018"/>
    <m/>
    <m/>
    <s v="     Jamil Batata"/>
    <s v="Jamil Batata"/>
    <s v="Nike Shoes"/>
    <x v="7"/>
    <s v="Apparel"/>
    <x v="2"/>
    <s v="Lebanon"/>
    <x v="0"/>
    <s v="Middle east"/>
    <s v="Middle East"/>
    <s v="Samer Chawlah"/>
    <x v="0"/>
    <n v="1"/>
    <n v="1"/>
    <n v="122"/>
    <n v="122"/>
    <n v="50"/>
    <n v="50"/>
    <n v="122"/>
    <n v="122"/>
    <n v="50"/>
    <n v="50"/>
    <n v="2.44"/>
    <n v="2.44"/>
    <n v="0.02"/>
    <n v="0.02"/>
  </r>
  <r>
    <s v="ORD1019"/>
    <s v="20/12/2024"/>
    <s v="20/12/2024"/>
    <s v="Elie Statham"/>
    <s v="Elie Statham"/>
    <s v="ZARA jacket"/>
    <x v="8"/>
    <s v="Appliances"/>
    <x v="2"/>
    <s v="UAE"/>
    <x v="1"/>
    <s v="Middle east"/>
    <s v="Middle East"/>
    <s v="Fadi Karnib"/>
    <x v="4"/>
    <n v="1"/>
    <n v="1"/>
    <n v="190"/>
    <n v="190"/>
    <n v="40"/>
    <n v="40"/>
    <n v="190"/>
    <n v="190"/>
    <n v="40"/>
    <n v="40"/>
    <n v="4.75"/>
    <n v="4.75"/>
    <n v="2.5000000000000001E-2"/>
    <n v="2.5000000000000001E-2"/>
  </r>
  <r>
    <s v="ORD1020"/>
    <s v="24/12/2024"/>
    <s v="24/12/2024"/>
    <s v="Elie Koralo"/>
    <s v="Elie Koralo"/>
    <s v="iphone 17"/>
    <x v="3"/>
    <m/>
    <x v="0"/>
    <s v="Germany"/>
    <x v="4"/>
    <s v="Europe"/>
    <s v="Europe"/>
    <s v="Xana Rikz"/>
    <x v="3"/>
    <n v="2"/>
    <n v="2"/>
    <n v="1450"/>
    <n v="1450"/>
    <n v="900"/>
    <n v="900"/>
    <n v="2900"/>
    <n v="2900"/>
    <n v="1800"/>
    <n v="1800"/>
    <n v="1.6111111111111112"/>
    <n v="1.6111111111111112"/>
    <n v="5.5555555555555556E-4"/>
    <n v="5.5555555555555556E-4"/>
  </r>
  <r>
    <s v="ORD1021"/>
    <d v="2025-05-01T00:00:00"/>
    <d v="2025-05-01T00:00:00"/>
    <s v="Fady           ibrahim"/>
    <s v="Fady Ibrahim"/>
    <s v="iphone 15"/>
    <x v="14"/>
    <s v="Electronics"/>
    <x v="0"/>
    <s v="Germany"/>
    <x v="4"/>
    <s v="Europe"/>
    <s v="Europe"/>
    <s v="Xana Rikz"/>
    <x v="3"/>
    <n v="1"/>
    <n v="1"/>
    <s v="860$"/>
    <n v="860"/>
    <n v="400"/>
    <n v="400"/>
    <e v="#VALUE!"/>
    <n v="860"/>
    <n v="400"/>
    <n v="400"/>
    <e v="#VALUE!"/>
    <n v="2.15"/>
    <e v="#VALUE!"/>
    <n v="2.5000000000000001E-3"/>
  </r>
  <r>
    <s v="ORD1022"/>
    <s v="28/1/2025"/>
    <s v="28/1/2025"/>
    <s v="rita banana"/>
    <s v="Rita Banana"/>
    <s v="ipad Pro"/>
    <x v="15"/>
    <s v="Electronics"/>
    <x v="0"/>
    <s v="Lebanon"/>
    <x v="0"/>
    <s v="Middle east"/>
    <s v="Middle East"/>
    <s v="Samer Chawlah"/>
    <x v="0"/>
    <n v="1"/>
    <n v="1"/>
    <n v="550"/>
    <n v="550"/>
    <n v="221"/>
    <n v="221"/>
    <n v="550"/>
    <n v="550"/>
    <n v="221"/>
    <n v="221"/>
    <n v="2.4886877828054299"/>
    <n v="2.4886877828054299"/>
    <n v="4.5248868778280547E-3"/>
    <n v="4.5248868778280547E-3"/>
  </r>
  <r>
    <s v="ORD1023"/>
    <s v="29/1/2025"/>
    <s v="29/1/2025"/>
    <s v="Micheal Johnson"/>
    <s v="Micheal Johnson"/>
    <s v="Keyboard"/>
    <x v="0"/>
    <s v="Electronics"/>
    <x v="0"/>
    <s v="Lebanon"/>
    <x v="0"/>
    <s v="Middle east"/>
    <s v="Middle East"/>
    <s v="Fadi Karnib"/>
    <x v="4"/>
    <n v="14"/>
    <n v="14"/>
    <n v="28"/>
    <n v="28"/>
    <n v="15"/>
    <n v="15"/>
    <n v="392"/>
    <n v="392"/>
    <n v="210"/>
    <n v="210"/>
    <n v="1.8666666666666667"/>
    <n v="1.8666666666666667"/>
    <n v="4.7619047619047623E-3"/>
    <n v="4.7619047619047623E-3"/>
  </r>
  <r>
    <s v="ORD1024"/>
    <s v="30/2/2025"/>
    <s v="30/2/2025"/>
    <s v="SARAH JOHNSON"/>
    <s v="Sarah Johnson"/>
    <s v="HP Laptop"/>
    <x v="5"/>
    <s v="Electronics"/>
    <x v="0"/>
    <s v="France"/>
    <x v="2"/>
    <s v="Europe"/>
    <s v="Europe"/>
    <s v="Dimitri ksara"/>
    <x v="1"/>
    <n v="6"/>
    <n v="6"/>
    <n v="1440"/>
    <n v="1440"/>
    <n v="1100"/>
    <n v="1100"/>
    <n v="8640"/>
    <n v="8640"/>
    <n v="6600"/>
    <n v="6600"/>
    <n v="1.3090909090909091"/>
    <n v="1.3090909090909091"/>
    <n v="1.5151515151515152E-4"/>
    <n v="1.5151515151515152E-4"/>
  </r>
  <r>
    <s v="ORD1025"/>
    <d v="2025-03-03T00:00:00"/>
    <d v="2025-03-03T00:00:00"/>
    <s v="Emily    davis"/>
    <s v="Emily Davis"/>
    <s v="Dumbells"/>
    <x v="16"/>
    <s v="Sports"/>
    <x v="4"/>
    <s v="          France"/>
    <x v="2"/>
    <s v="Europe"/>
    <s v="Europe"/>
    <s v="Xana Rikz"/>
    <x v="3"/>
    <n v="38"/>
    <n v="38"/>
    <n v="15"/>
    <n v="15"/>
    <n v="7"/>
    <n v="7"/>
    <n v="570"/>
    <n v="570"/>
    <n v="266"/>
    <n v="266"/>
    <n v="2.1428571428571428"/>
    <n v="2.1428571428571428"/>
    <n v="3.7593984962406013E-3"/>
    <n v="3.7593984962406013E-3"/>
  </r>
  <r>
    <s v="ORD1026"/>
    <d v="2025-04-05T00:00:00"/>
    <d v="2025-04-05T00:00:00"/>
    <m/>
    <s v=""/>
    <s v="Mouse"/>
    <x v="2"/>
    <s v="Electronics"/>
    <x v="0"/>
    <s v="Lebanon"/>
    <x v="0"/>
    <s v="Middle east"/>
    <s v="Middle East"/>
    <s v="Rabih Nounani"/>
    <x v="6"/>
    <n v="14"/>
    <n v="14"/>
    <n v="28"/>
    <n v="28"/>
    <n v="9"/>
    <n v="9"/>
    <n v="392"/>
    <n v="392"/>
    <n v="126"/>
    <n v="126"/>
    <n v="3.1111111111111112"/>
    <n v="3.1111111111111112"/>
    <n v="7.9365079365079361E-3"/>
    <n v="7.9365079365079361E-3"/>
  </r>
  <r>
    <s v="ORD1027"/>
    <s v="15/5/25"/>
    <s v="15/5/25"/>
    <s v="J. Smith"/>
    <s v="J. Smith"/>
    <s v="dell laptop"/>
    <x v="17"/>
    <s v="Electronics"/>
    <x v="0"/>
    <s v="UAE"/>
    <x v="1"/>
    <s v="Middle east"/>
    <s v="Middle East"/>
    <s v="Rabih Nounani"/>
    <x v="6"/>
    <n v="5"/>
    <n v="5"/>
    <n v="1460"/>
    <n v="1460"/>
    <n v="1100"/>
    <n v="1100"/>
    <n v="7300"/>
    <n v="7300"/>
    <n v="5500"/>
    <n v="5500"/>
    <n v="1.3272727272727274"/>
    <n v="1.3272727272727274"/>
    <n v="1.8181818181818183E-4"/>
    <n v="1.8181818181818183E-4"/>
  </r>
  <r>
    <s v="ORD1028"/>
    <s v="Tuesday, June 16, 2025"/>
    <d v="2025-06-16T00:00:00"/>
    <s v="Anthony Thompson"/>
    <s v="Anthony Thompson"/>
    <s v="samsung tv"/>
    <x v="18"/>
    <s v="         Electronic"/>
    <x v="0"/>
    <s v="France"/>
    <x v="2"/>
    <s v="Europe"/>
    <s v="Europe"/>
    <s v="Dimitri ksara"/>
    <x v="1"/>
    <n v="25"/>
    <n v="25"/>
    <n v="-400"/>
    <n v="-400"/>
    <n v="220"/>
    <n v="220"/>
    <n v="-10000"/>
    <n v="-10000"/>
    <n v="5500"/>
    <n v="5500"/>
    <n v="-1.8181818181818181"/>
    <n v="-1.8181818181818181"/>
    <n v="1.8181818181818181E-4"/>
    <n v="1.8181818181818181E-4"/>
  </r>
  <r>
    <s v="ORD1029"/>
    <s v="24/7/2025"/>
    <s v="24/7/2025"/>
    <s v="Elie bruno"/>
    <s v="Elie Bruno"/>
    <s v="Mouse"/>
    <x v="2"/>
    <s v="Electronics"/>
    <x v="0"/>
    <s v="Lebanon"/>
    <x v="0"/>
    <s v="Middle east"/>
    <s v="Middle East"/>
    <s v="Samer Chawlah"/>
    <x v="0"/>
    <n v="10"/>
    <n v="10"/>
    <n v="25"/>
    <n v="25"/>
    <n v="9"/>
    <n v="9"/>
    <n v="250"/>
    <n v="250"/>
    <n v="90"/>
    <n v="90"/>
    <n v="2.7777777777777777"/>
    <n v="2.7777777777777777"/>
    <n v="1.1111111111111112E-2"/>
    <n v="1.1111111111111112E-2"/>
  </r>
  <r>
    <s v="ORD1030"/>
    <s v="24/7/2025"/>
    <s v="24/7/2025"/>
    <s v="Edward lee"/>
    <s v="Edward Lee"/>
    <s v="Keyboard"/>
    <x v="0"/>
    <m/>
    <x v="0"/>
    <s v="Lebanon"/>
    <x v="0"/>
    <s v="Middle east"/>
    <s v="Middle East"/>
    <s v="Rabih Nounani"/>
    <x v="6"/>
    <n v="25"/>
    <n v="25"/>
    <n v="55"/>
    <n v="55"/>
    <n v="9"/>
    <n v="9"/>
    <n v="1375"/>
    <n v="1375"/>
    <n v="225"/>
    <n v="225"/>
    <n v="6.1111111111111107"/>
    <n v="6.1111111111111107"/>
    <n v="4.4444444444444444E-3"/>
    <n v="4.4444444444444444E-3"/>
  </r>
  <r>
    <s v="ORD1031"/>
    <s v="15/8/2025"/>
    <s v="15/8/2025"/>
    <s v="Celio Saab"/>
    <s v="Celio Saab"/>
    <s v="Puma Hoodie"/>
    <x v="19"/>
    <s v="Apparel"/>
    <x v="2"/>
    <s v="canada"/>
    <x v="3"/>
    <s v="North America"/>
    <s v="North America"/>
    <s v="Perla           Yunani"/>
    <x v="2"/>
    <n v="48"/>
    <n v="48"/>
    <n v="65"/>
    <n v="65"/>
    <n v="21"/>
    <n v="21"/>
    <n v="3120"/>
    <n v="3120"/>
    <n v="1008"/>
    <n v="1008"/>
    <n v="3.0952380952380953"/>
    <n v="3.0952380952380953"/>
    <n v="9.9206349206349201E-4"/>
    <n v="9.9206349206349201E-4"/>
  </r>
  <r>
    <s v="ORD1032"/>
    <s v="17/8/2025"/>
    <s v="17/8/2025"/>
    <s v="Georges T. Eid"/>
    <s v="Georges T. Eid"/>
    <s v="Air Conditioner"/>
    <x v="11"/>
    <s v="Appliances"/>
    <x v="3"/>
    <s v="U.A.E"/>
    <x v="1"/>
    <s v="Middle east"/>
    <s v="Middle East"/>
    <s v="Samer Chawlah"/>
    <x v="0"/>
    <n v="44"/>
    <n v="44"/>
    <n v="330"/>
    <n v="330"/>
    <n v="225"/>
    <n v="225"/>
    <n v="14520"/>
    <n v="14520"/>
    <n v="9900"/>
    <n v="9900"/>
    <n v="1.4666666666666666"/>
    <n v="1.4666666666666666"/>
    <n v="1.01010101010101E-4"/>
    <n v="1.01010101010101E-4"/>
  </r>
  <r>
    <s v="ORD1033"/>
    <d v="2025-03-09T00:00:00"/>
    <d v="2025-03-09T00:00:00"/>
    <s v="Rawad zor"/>
    <s v="Rawad Zor"/>
    <s v="Water   Heater"/>
    <x v="12"/>
    <s v="Appliances"/>
    <x v="3"/>
    <s v="Frnace"/>
    <x v="2"/>
    <s v="Europe"/>
    <s v="Europe"/>
    <s v="Dimitri ksara"/>
    <x v="1"/>
    <n v="70"/>
    <n v="70"/>
    <n v="140"/>
    <n v="140"/>
    <n v="54"/>
    <n v="54"/>
    <n v="9800"/>
    <n v="9800"/>
    <n v="3780"/>
    <n v="3780"/>
    <n v="2.5925925925925926"/>
    <n v="2.5925925925925926"/>
    <n v="2.6455026455026457E-4"/>
    <n v="2.6455026455026457E-4"/>
  </r>
  <r>
    <s v="ORD1034"/>
    <d v="2025-04-09T00:00:00"/>
    <d v="2025-04-09T00:00:00"/>
    <s v="Elie bruno"/>
    <s v="Elie Bruno"/>
    <s v="ipad Pro"/>
    <x v="15"/>
    <s v="Electronics"/>
    <x v="0"/>
    <s v="Lebanon"/>
    <x v="0"/>
    <s v="Middle east"/>
    <s v="Middle East"/>
    <s v="Fadi Karnib"/>
    <x v="4"/>
    <n v="1"/>
    <n v="1"/>
    <n v="559"/>
    <n v="559"/>
    <n v="221"/>
    <n v="221"/>
    <n v="559"/>
    <n v="559"/>
    <n v="221"/>
    <n v="221"/>
    <n v="2.5294117647058822"/>
    <n v="2.5294117647058822"/>
    <n v="4.5248868778280538E-3"/>
    <n v="4.5248868778280538E-3"/>
  </r>
  <r>
    <s v="ORD1035"/>
    <s v="18/10/2025"/>
    <s v="18/10/2025"/>
    <s v="Angela Farghus"/>
    <s v="Angela Farghus"/>
    <s v="Mouse"/>
    <x v="2"/>
    <s v="Electronics"/>
    <x v="0"/>
    <s v="Lebanon"/>
    <x v="0"/>
    <s v="Middle east"/>
    <s v="Middle East"/>
    <s v="Rabih Nounani"/>
    <x v="6"/>
    <n v="2"/>
    <n v="2"/>
    <n v="18"/>
    <n v="18"/>
    <n v="9"/>
    <n v="9"/>
    <n v="36"/>
    <n v="36"/>
    <n v="18"/>
    <n v="18"/>
    <n v="2"/>
    <n v="2"/>
    <n v="5.5555555555555552E-2"/>
    <n v="5.5555555555555552E-2"/>
  </r>
  <r>
    <s v="ORD1036"/>
    <s v="19/10/2025"/>
    <s v="19/10/2025"/>
    <s v="          Mark Garcia"/>
    <s v="Mark Garcia"/>
    <s v="wireless mouse"/>
    <x v="20"/>
    <s v="Electronics"/>
    <x v="0"/>
    <s v="UAE"/>
    <x v="1"/>
    <s v="Middle east"/>
    <s v="Middle East"/>
    <s v="Samer Chawlah"/>
    <x v="0"/>
    <n v="26"/>
    <n v="26"/>
    <n v="41"/>
    <n v="41"/>
    <n v="16"/>
    <n v="16"/>
    <n v="1066"/>
    <n v="1066"/>
    <n v="416"/>
    <n v="416"/>
    <n v="2.5625"/>
    <n v="2.5625"/>
    <n v="2.403846153846154E-3"/>
    <n v="2.403846153846154E-3"/>
  </r>
  <r>
    <s v="ORD1037"/>
    <s v="30/10/2025"/>
    <s v="30/10/2025"/>
    <s v="Brian            Rodriguez"/>
    <s v="Brian Rodriguez"/>
    <s v="Keyboard"/>
    <x v="0"/>
    <s v="Electronics        "/>
    <x v="0"/>
    <s v="France"/>
    <x v="2"/>
    <s v="Europe"/>
    <s v="Europe"/>
    <s v="Xana Rikz"/>
    <x v="3"/>
    <n v="10"/>
    <n v="10"/>
    <n v="55"/>
    <n v="55"/>
    <n v="9"/>
    <n v="9"/>
    <n v="550"/>
    <n v="550"/>
    <n v="90"/>
    <n v="90"/>
    <n v="6.1111111111111107"/>
    <n v="6.1111111111111107"/>
    <n v="1.111111111111111E-2"/>
    <n v="1.111111111111111E-2"/>
  </r>
  <r>
    <s v="ORD1038"/>
    <d v="2025-12-12T00:00:00"/>
    <d v="2025-12-12T00:00:00"/>
    <s v="Georges LEWIS"/>
    <s v="Georges Lewis"/>
    <s v="wireless mouse"/>
    <x v="20"/>
    <s v="Electronics"/>
    <x v="0"/>
    <s v="Lebanon"/>
    <x v="0"/>
    <s v="Middle east"/>
    <s v="Middle East"/>
    <s v="Rabih Nounani"/>
    <x v="6"/>
    <n v="42"/>
    <n v="42"/>
    <n v="39"/>
    <n v="39"/>
    <n v="16"/>
    <n v="16"/>
    <n v="1638"/>
    <n v="1638"/>
    <n v="672"/>
    <n v="672"/>
    <n v="2.4375"/>
    <n v="2.4375"/>
    <n v="1.488095238095238E-3"/>
    <n v="1.488095238095238E-3"/>
  </r>
  <r>
    <s v="ORD1039"/>
    <s v="13/12/2025"/>
    <s v="13/12/2025"/>
    <s v="Ryan Walker"/>
    <s v="Ryan Walker"/>
    <s v="ZARA jacket"/>
    <x v="8"/>
    <s v="Apparel"/>
    <x v="2"/>
    <s v="Lebanon"/>
    <x v="0"/>
    <s v="Middle east"/>
    <s v="Middle East"/>
    <s v="Fadi Karnib"/>
    <x v="4"/>
    <n v="1"/>
    <n v="1"/>
    <n v="190"/>
    <n v="190"/>
    <n v="40"/>
    <n v="40"/>
    <n v="190"/>
    <n v="190"/>
    <n v="40"/>
    <n v="40"/>
    <n v="4.75"/>
    <n v="4.75"/>
    <n v="2.5000000000000001E-2"/>
    <n v="2.5000000000000001E-2"/>
  </r>
  <r>
    <s v="ORD1040"/>
    <s v="25/12/2025"/>
    <s v="25/12/2025"/>
    <s v="Luis Diaz"/>
    <s v="Luis Diaz"/>
    <s v="running shoes"/>
    <x v="21"/>
    <s v="Apparel"/>
    <x v="2"/>
    <s v="canada"/>
    <x v="3"/>
    <s v="North America"/>
    <s v="North America"/>
    <s v="Perla Yunani"/>
    <x v="2"/>
    <n v="72"/>
    <n v="72"/>
    <n v="90"/>
    <n v="90"/>
    <n v="47"/>
    <n v="47"/>
    <n v="6480"/>
    <n v="6480"/>
    <n v="3384"/>
    <n v="3384"/>
    <n v="1.9148936170212767"/>
    <n v="1.9148936170212767"/>
    <n v="2.9550827423167848E-4"/>
    <n v="2.9550827423167848E-4"/>
  </r>
  <r>
    <s v="ORD1041"/>
    <d v="2026-01-02T00:00:00"/>
    <d v="2026-01-02T00:00:00"/>
    <s v="Ronaldo di"/>
    <s v="Ronaldo Di"/>
    <s v="       gaming chair"/>
    <x v="22"/>
    <s v="Furniture"/>
    <x v="1"/>
    <s v="U.A.E"/>
    <x v="1"/>
    <s v="Middle east"/>
    <s v="Middle East"/>
    <s v="Samer Chawlah"/>
    <x v="0"/>
    <n v="1"/>
    <n v="1"/>
    <n v="225"/>
    <n v="225"/>
    <n v="120"/>
    <n v="120"/>
    <n v="225"/>
    <n v="225"/>
    <n v="120"/>
    <n v="120"/>
    <n v="1.875"/>
    <n v="1.875"/>
    <n v="8.3333333333333332E-3"/>
    <n v="8.3333333333333332E-3"/>
  </r>
  <r>
    <s v="ORD1042"/>
    <d v="2026-02-02T00:00:00"/>
    <d v="2026-02-02T00:00:00"/>
    <s v="Isabella Harris"/>
    <s v="Isabella Harris"/>
    <s v="Office Chair"/>
    <x v="6"/>
    <s v="Furniture"/>
    <x v="1"/>
    <s v="Frnace"/>
    <x v="2"/>
    <s v="Europe"/>
    <s v="Europe"/>
    <s v="Xana Rikz"/>
    <x v="3"/>
    <n v="1"/>
    <n v="1"/>
    <n v="180"/>
    <n v="180"/>
    <n v="85"/>
    <n v="85"/>
    <n v="180"/>
    <n v="180"/>
    <n v="85"/>
    <n v="85"/>
    <n v="2.1176470588235294"/>
    <n v="2.1176470588235294"/>
    <n v="1.1764705882352941E-2"/>
    <n v="1.1764705882352941E-2"/>
  </r>
  <r>
    <s v="ORD1043"/>
    <s v="18/2/2026"/>
    <s v="18/2/2026"/>
    <s v="Hanna Abi Habib"/>
    <s v="Hanna Abi Habib"/>
    <s v="ZARA jacket"/>
    <x v="8"/>
    <s v="Apparel"/>
    <x v="2"/>
    <s v="Lebanon"/>
    <x v="0"/>
    <s v="Middle east"/>
    <s v="Middle East"/>
    <s v="Samer Chawlah"/>
    <x v="0"/>
    <n v="1"/>
    <n v="1"/>
    <n v="190"/>
    <n v="190"/>
    <n v="40"/>
    <n v="40"/>
    <n v="190"/>
    <n v="190"/>
    <n v="40"/>
    <n v="40"/>
    <n v="4.75"/>
    <n v="4.75"/>
    <n v="2.5000000000000001E-2"/>
    <n v="2.5000000000000001E-2"/>
  </r>
  <r>
    <s v="ORD1044"/>
    <s v="19/2/2026"/>
    <s v="19/2/2026"/>
    <s v="Chloe       thomson"/>
    <s v="Chloe Thomson"/>
    <s v="running shoes"/>
    <x v="21"/>
    <s v="Apparel"/>
    <x v="2"/>
    <s v="UAE"/>
    <x v="1"/>
    <s v="Middle east"/>
    <s v="Middle East"/>
    <s v="Fadi Karnib"/>
    <x v="4"/>
    <n v="5"/>
    <n v="5"/>
    <n v="90"/>
    <n v="90"/>
    <n v="25"/>
    <n v="25"/>
    <n v="450"/>
    <n v="450"/>
    <n v="125"/>
    <n v="125"/>
    <n v="3.6"/>
    <n v="3.6"/>
    <n v="8.0000000000000002E-3"/>
    <n v="8.0000000000000002E-3"/>
  </r>
  <r>
    <s v="ORD1045"/>
    <s v="14/4/2026"/>
    <s v="14/4/2026"/>
    <s v="          Carrick fernandez"/>
    <s v="Carrick Fernandez"/>
    <s v="wireless mouse"/>
    <x v="20"/>
    <s v="Apparel"/>
    <x v="0"/>
    <s v="Germany"/>
    <x v="4"/>
    <s v="Europe"/>
    <s v="Europe"/>
    <s v="Dimitri ksara"/>
    <x v="1"/>
    <n v="36"/>
    <n v="36"/>
    <n v="41"/>
    <n v="41"/>
    <n v="16"/>
    <n v="16"/>
    <n v="1476"/>
    <n v="1476"/>
    <n v="576"/>
    <n v="576"/>
    <n v="2.5625"/>
    <n v="2.5625"/>
    <n v="1.736111111111111E-3"/>
    <n v="1.736111111111111E-3"/>
  </r>
  <r>
    <s v="ORD1046"/>
    <s v="17/4/2026"/>
    <s v="17/4/2026"/>
    <s v="Lana     rawas"/>
    <s v="Lana Rawas"/>
    <s v="Keyboard"/>
    <x v="0"/>
    <s v="Electronics"/>
    <x v="0"/>
    <s v="Germany"/>
    <x v="4"/>
    <s v="Europe"/>
    <s v="Europe"/>
    <s v="Xana Rikz"/>
    <x v="3"/>
    <n v="42"/>
    <n v="42"/>
    <n v="55"/>
    <n v="55"/>
    <n v="9"/>
    <n v="9"/>
    <n v="2310"/>
    <n v="2310"/>
    <n v="378"/>
    <n v="378"/>
    <n v="6.1111111111111107"/>
    <n v="6.1111111111111107"/>
    <n v="2.6455026455026454E-3"/>
    <n v="2.6455026455026454E-3"/>
  </r>
  <r>
    <s v="ORD1047"/>
    <s v="20/3/2026"/>
    <s v="20/3/2026"/>
    <s v="Elie bruno"/>
    <s v="Elie Bruno"/>
    <s v="Mouse"/>
    <x v="2"/>
    <s v="Furniture"/>
    <x v="0"/>
    <s v="Lebanon"/>
    <x v="0"/>
    <s v="Middle east"/>
    <s v="Middle East"/>
    <s v="Rabih Nounani"/>
    <x v="6"/>
    <n v="36"/>
    <n v="36"/>
    <n v="25"/>
    <n v="25"/>
    <n v="9"/>
    <n v="9"/>
    <n v="900"/>
    <n v="900"/>
    <n v="324"/>
    <n v="324"/>
    <n v="2.7777777777777777"/>
    <n v="2.7777777777777777"/>
    <n v="3.0864197530864196E-3"/>
    <n v="3.0864197530864196E-3"/>
  </r>
  <r>
    <s v="ORD1048"/>
    <s v="21/4/2026"/>
    <s v="21/4/2026"/>
    <s v="Jamal Hansi"/>
    <s v="Jamal Hansi"/>
    <s v="gaming chair"/>
    <x v="22"/>
    <s v="Furniture"/>
    <x v="1"/>
    <s v="Lebanon"/>
    <x v="0"/>
    <s v="Middle east"/>
    <s v="Middle East"/>
    <s v="Fadi Karnib"/>
    <x v="4"/>
    <n v="10"/>
    <n v="10"/>
    <n v="225"/>
    <n v="225"/>
    <n v="170"/>
    <n v="170"/>
    <n v="2250"/>
    <n v="2250"/>
    <n v="1700"/>
    <n v="1700"/>
    <n v="1.3235294117647058"/>
    <n v="1.3235294117647058"/>
    <n v="5.8823529411764701E-4"/>
    <n v="5.8823529411764701E-4"/>
  </r>
  <r>
    <s v="ORD1049"/>
    <s v="22/4/226"/>
    <s v="22/4/226"/>
    <s v="Antonia Moub"/>
    <s v="Antonia Moub"/>
    <s v="Air Conditioner"/>
    <x v="11"/>
    <s v="Appliances"/>
    <x v="3"/>
    <s v="France"/>
    <x v="2"/>
    <s v="Europe"/>
    <s v="Europe"/>
    <s v="Xana Rikz"/>
    <x v="3"/>
    <n v="1"/>
    <n v="1"/>
    <n v="330"/>
    <n v="330"/>
    <n v="225"/>
    <n v="225"/>
    <n v="330"/>
    <n v="330"/>
    <n v="225"/>
    <n v="225"/>
    <n v="1.4666666666666666"/>
    <n v="1.4666666666666666"/>
    <n v="4.4444444444444444E-3"/>
    <n v="4.4444444444444444E-3"/>
  </r>
  <r>
    <s v="ORD1050"/>
    <s v="14/5/2026"/>
    <s v="14/5/2026"/>
    <s v="angelina        noub"/>
    <s v="Angelina Noub"/>
    <s v="iphone 17"/>
    <x v="3"/>
    <s v="Electronics"/>
    <x v="0"/>
    <s v="          France"/>
    <x v="2"/>
    <s v="Europe"/>
    <s v="Europe"/>
    <s v="Dimitri ksara"/>
    <x v="1"/>
    <n v="6"/>
    <n v="6"/>
    <n v="1450"/>
    <n v="1450"/>
    <n v="900"/>
    <n v="900"/>
    <n v="8700"/>
    <n v="8700"/>
    <n v="5400"/>
    <n v="5400"/>
    <n v="1.6111111111111112"/>
    <n v="1.6111111111111112"/>
    <n v="1.851851851851852E-4"/>
    <n v="1.851851851851852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E3787-8745-44D5-889A-DCD85CE778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D3:E9" firstHeaderRow="1" firstDataRow="1" firstDataCol="1"/>
  <pivotFields count="29">
    <pivotField showAll="0"/>
    <pivotField showAll="0"/>
    <pivotField showAll="0"/>
    <pivotField showAll="0"/>
    <pivotField showAll="0"/>
    <pivotField showAll="0"/>
    <pivotField showAll="0"/>
    <pivotField showAll="0"/>
    <pivotField showAll="0"/>
    <pivotField showAll="0"/>
    <pivotField axis="axisRow" showAll="0" sortType="descending">
      <items count="6">
        <item x="3"/>
        <item x="2"/>
        <item x="4"/>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showAll="0"/>
    <pivotField showAll="0"/>
    <pivotField dataField="1" numFmtId="164" showAll="0"/>
    <pivotField showAll="0"/>
    <pivotField numFmtId="164" showAll="0"/>
    <pivotField showAll="0"/>
    <pivotField numFmtId="164" showAll="0"/>
    <pivotField showAll="0"/>
    <pivotField numFmtId="44" showAll="0"/>
  </pivotFields>
  <rowFields count="1">
    <field x="10"/>
  </rowFields>
  <rowItems count="6">
    <i>
      <x v="4"/>
    </i>
    <i>
      <x v="3"/>
    </i>
    <i>
      <x v="1"/>
    </i>
    <i>
      <x/>
    </i>
    <i>
      <x v="2"/>
    </i>
    <i t="grand">
      <x/>
    </i>
  </rowItems>
  <colItems count="1">
    <i/>
  </colItems>
  <dataFields count="1">
    <dataField name="Sum of Clean_Revenue" fld="22"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8EA5EF-8A5E-4828-860A-2D4D88F92A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3:B9" firstHeaderRow="1" firstDataRow="1" firstDataCol="1"/>
  <pivotFields count="29">
    <pivotField showAll="0"/>
    <pivotField showAll="0"/>
    <pivotField showAll="0"/>
    <pivotField showAll="0"/>
    <pivotField showAll="0"/>
    <pivotField showAll="0"/>
    <pivotField axis="axisRow" showAll="0" measureFilter="1">
      <items count="24">
        <item x="11"/>
        <item x="13"/>
        <item x="17"/>
        <item x="16"/>
        <item x="22"/>
        <item x="4"/>
        <item x="1"/>
        <item x="5"/>
        <item x="15"/>
        <item x="14"/>
        <item x="3"/>
        <item x="0"/>
        <item x="9"/>
        <item x="10"/>
        <item x="2"/>
        <item x="7"/>
        <item x="6"/>
        <item x="19"/>
        <item x="21"/>
        <item x="18"/>
        <item x="12"/>
        <item x="20"/>
        <item x="8"/>
        <item t="default"/>
      </items>
    </pivotField>
    <pivotField showAll="0"/>
    <pivotField showAll="0"/>
    <pivotField showAll="0"/>
    <pivotField showAll="0">
      <items count="6">
        <item x="3"/>
        <item x="2"/>
        <item x="4"/>
        <item x="0"/>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dataField="1" numFmtId="164" showAll="0"/>
    <pivotField showAll="0"/>
    <pivotField numFmtId="164" showAll="0"/>
    <pivotField showAll="0"/>
    <pivotField numFmtId="164" showAll="0"/>
    <pivotField showAll="0"/>
    <pivotField numFmtId="44" showAll="0"/>
  </pivotFields>
  <rowFields count="1">
    <field x="6"/>
  </rowFields>
  <rowItems count="6">
    <i>
      <x/>
    </i>
    <i>
      <x v="2"/>
    </i>
    <i>
      <x v="7"/>
    </i>
    <i>
      <x v="10"/>
    </i>
    <i>
      <x v="20"/>
    </i>
    <i t="grand">
      <x/>
    </i>
  </rowItems>
  <colItems count="1">
    <i/>
  </colItems>
  <dataFields count="1">
    <dataField name="Sum of Clean_Revenue" fld="22"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565B1F-FEF0-4917-9EC4-826E2C2B47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9" firstHeaderRow="1" firstDataRow="1" firstDataCol="1"/>
  <pivotFields count="29">
    <pivotField showAll="0"/>
    <pivotField showAll="0"/>
    <pivotField showAll="0"/>
    <pivotField showAll="0"/>
    <pivotField showAll="0"/>
    <pivotField showAll="0"/>
    <pivotField showAll="0"/>
    <pivotField showAll="0"/>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numFmtId="164" showAll="0"/>
    <pivotField showAll="0"/>
    <pivotField dataField="1" numFmtId="164" showAll="0"/>
    <pivotField showAll="0"/>
    <pivotField numFmtId="44" showAll="0"/>
  </pivotFields>
  <rowFields count="1">
    <field x="8"/>
  </rowFields>
  <rowItems count="6">
    <i>
      <x v="2"/>
    </i>
    <i>
      <x/>
    </i>
    <i>
      <x v="1"/>
    </i>
    <i>
      <x v="3"/>
    </i>
    <i>
      <x v="4"/>
    </i>
    <i t="grand">
      <x/>
    </i>
  </rowItems>
  <colItems count="1">
    <i/>
  </colItems>
  <dataFields count="1">
    <dataField name="Sum of Clean_Profit" fld="2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44E2F-8FDD-49D8-80CD-A11F89155D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G3:H27" firstHeaderRow="1" firstDataRow="1" firstDataCol="1"/>
  <pivotFields count="29">
    <pivotField showAll="0"/>
    <pivotField showAll="0"/>
    <pivotField showAll="0"/>
    <pivotField showAll="0"/>
    <pivotField showAll="0"/>
    <pivotField showAll="0"/>
    <pivotField axis="axisRow" showAll="0" sortType="descending">
      <items count="24">
        <item x="11"/>
        <item x="13"/>
        <item x="17"/>
        <item x="16"/>
        <item x="22"/>
        <item x="4"/>
        <item x="1"/>
        <item x="5"/>
        <item x="15"/>
        <item x="14"/>
        <item x="3"/>
        <item x="0"/>
        <item x="9"/>
        <item x="10"/>
        <item x="2"/>
        <item x="7"/>
        <item x="6"/>
        <item x="19"/>
        <item x="21"/>
        <item x="18"/>
        <item x="12"/>
        <item x="2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numFmtId="164" showAll="0"/>
    <pivotField showAll="0"/>
    <pivotField dataField="1" numFmtId="164" showAll="0"/>
    <pivotField showAll="0"/>
    <pivotField numFmtId="44" showAll="0"/>
  </pivotFields>
  <rowFields count="1">
    <field x="6"/>
  </rowFields>
  <rowItems count="24">
    <i>
      <x v="11"/>
    </i>
    <i>
      <x v="22"/>
    </i>
    <i>
      <x v="14"/>
    </i>
    <i>
      <x v="21"/>
    </i>
    <i>
      <x v="10"/>
    </i>
    <i>
      <x v="18"/>
    </i>
    <i>
      <x v="16"/>
    </i>
    <i>
      <x v="20"/>
    </i>
    <i>
      <x v="8"/>
    </i>
    <i>
      <x v="15"/>
    </i>
    <i>
      <x v="5"/>
    </i>
    <i>
      <x/>
    </i>
    <i>
      <x v="6"/>
    </i>
    <i>
      <x v="4"/>
    </i>
    <i>
      <x v="17"/>
    </i>
    <i>
      <x v="7"/>
    </i>
    <i>
      <x v="9"/>
    </i>
    <i>
      <x v="3"/>
    </i>
    <i>
      <x v="1"/>
    </i>
    <i>
      <x v="2"/>
    </i>
    <i>
      <x v="13"/>
    </i>
    <i>
      <x v="12"/>
    </i>
    <i>
      <x v="19"/>
    </i>
    <i t="grand">
      <x/>
    </i>
  </rowItems>
  <colItems count="1">
    <i/>
  </colItems>
  <dataFields count="1">
    <dataField name="Sum of Clean_Profit" fld="2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F58334-2594-49E9-A8CC-7B69CB58E7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G10" firstHeaderRow="1" firstDataRow="2" firstDataCol="1" rowPageCount="1" colPageCount="1"/>
  <pivotFields count="29">
    <pivotField showAll="0"/>
    <pivotField showAll="0"/>
    <pivotField showAll="0"/>
    <pivotField showAll="0"/>
    <pivotField showAll="0"/>
    <pivotField showAll="0"/>
    <pivotField axis="axisRow" showAll="0" measureFilter="1" sortType="descending">
      <items count="24">
        <item x="11"/>
        <item x="13"/>
        <item x="17"/>
        <item x="16"/>
        <item x="22"/>
        <item x="4"/>
        <item x="1"/>
        <item x="5"/>
        <item x="15"/>
        <item x="14"/>
        <item x="3"/>
        <item x="0"/>
        <item x="9"/>
        <item x="10"/>
        <item x="2"/>
        <item x="7"/>
        <item x="6"/>
        <item x="19"/>
        <item x="21"/>
        <item x="18"/>
        <item x="12"/>
        <item x="20"/>
        <item x="8"/>
        <item t="default"/>
      </items>
      <autoSortScope>
        <pivotArea dataOnly="0" outline="0" fieldPosition="0">
          <references count="1">
            <reference field="4294967294" count="1" selected="0">
              <x v="0"/>
            </reference>
          </references>
        </pivotArea>
      </autoSortScope>
    </pivotField>
    <pivotField showAll="0"/>
    <pivotField axis="axisPage" showAll="0">
      <items count="6">
        <item x="2"/>
        <item x="3"/>
        <item x="0"/>
        <item x="1"/>
        <item x="4"/>
        <item t="default"/>
      </items>
    </pivotField>
    <pivotField showAll="0"/>
    <pivotField axis="axisCol" showAll="0">
      <items count="6">
        <item x="3"/>
        <item x="2"/>
        <item x="4"/>
        <item x="0"/>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dataField="1" numFmtId="164" showAll="0"/>
    <pivotField showAll="0"/>
    <pivotField numFmtId="164" showAll="0"/>
    <pivotField showAll="0"/>
    <pivotField numFmtId="164" showAll="0"/>
    <pivotField showAll="0"/>
    <pivotField numFmtId="44" showAll="0"/>
  </pivotFields>
  <rowFields count="1">
    <field x="6"/>
  </rowFields>
  <rowItems count="6">
    <i>
      <x v="10"/>
    </i>
    <i>
      <x/>
    </i>
    <i>
      <x v="7"/>
    </i>
    <i>
      <x v="20"/>
    </i>
    <i>
      <x v="2"/>
    </i>
    <i t="grand">
      <x/>
    </i>
  </rowItems>
  <colFields count="1">
    <field x="10"/>
  </colFields>
  <colItems count="6">
    <i>
      <x/>
    </i>
    <i>
      <x v="1"/>
    </i>
    <i>
      <x v="2"/>
    </i>
    <i>
      <x v="3"/>
    </i>
    <i>
      <x v="4"/>
    </i>
    <i t="grand">
      <x/>
    </i>
  </colItems>
  <pageFields count="1">
    <pageField fld="8" hier="-1"/>
  </pageFields>
  <dataFields count="1">
    <dataField name="Sum of Clean_Revenue" fld="22" baseField="0" baseItem="0" numFmtId="164"/>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C4CD35-2D4D-489A-8EEA-6BF498552FDD}" name="PivotTable7"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5" rowHeaderCaption="Sales Rep">
  <location ref="M3:O9" firstHeaderRow="1" firstDataRow="2" firstDataCol="1"/>
  <pivotFields count="29">
    <pivotField showAll="0"/>
    <pivotField showAll="0"/>
    <pivotField showAll="0"/>
    <pivotField showAll="0"/>
    <pivotField showAll="0"/>
    <pivotField showAll="0"/>
    <pivotField showAll="0" sortType="descending">
      <items count="24">
        <item x="11"/>
        <item x="13"/>
        <item x="17"/>
        <item x="16"/>
        <item x="22"/>
        <item x="4"/>
        <item x="1"/>
        <item x="5"/>
        <item x="15"/>
        <item x="14"/>
        <item x="3"/>
        <item x="0"/>
        <item x="9"/>
        <item x="10"/>
        <item x="2"/>
        <item x="7"/>
        <item x="6"/>
        <item x="19"/>
        <item x="21"/>
        <item x="18"/>
        <item x="12"/>
        <item x="20"/>
        <item x="8"/>
        <item t="default"/>
      </items>
      <autoSortScope>
        <pivotArea dataOnly="0" outline="0" fieldPosition="0">
          <references count="1">
            <reference field="4294967294" count="1" selected="0">
              <x v="0"/>
            </reference>
          </references>
        </pivotArea>
      </autoSortScope>
    </pivotField>
    <pivotField showAll="0"/>
    <pivotField showAll="0">
      <items count="6">
        <item x="2"/>
        <item x="3"/>
        <item x="0"/>
        <item x="1"/>
        <item x="4"/>
        <item t="default"/>
      </items>
    </pivotField>
    <pivotField showAll="0"/>
    <pivotField axis="axisCol" showAll="0">
      <items count="6">
        <item h="1" x="3"/>
        <item h="1" x="2"/>
        <item h="1" x="4"/>
        <item x="0"/>
        <item h="1" x="1"/>
        <item t="default"/>
      </items>
    </pivotField>
    <pivotField showAll="0"/>
    <pivotField showAll="0"/>
    <pivotField showAll="0"/>
    <pivotField axis="axisRow" showAll="0" sortType="descending">
      <items count="8">
        <item sd="0" x="1"/>
        <item sd="0" x="4"/>
        <item sd="0" x="5"/>
        <item sd="0" x="2"/>
        <item sd="0" x="6"/>
        <item sd="0" x="0"/>
        <item sd="0" x="3"/>
        <item t="default" sd="0"/>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showAll="0"/>
    <pivotField dataField="1" numFmtId="164" showAll="0"/>
    <pivotField showAll="0"/>
    <pivotField numFmtId="164" showAll="0"/>
    <pivotField showAll="0"/>
    <pivotField numFmtId="164" showAll="0"/>
    <pivotField showAll="0"/>
    <pivotField numFmtId="44" showAll="0"/>
  </pivotFields>
  <rowFields count="1">
    <field x="14"/>
  </rowFields>
  <rowItems count="5">
    <i>
      <x v="1"/>
    </i>
    <i>
      <x v="4"/>
    </i>
    <i>
      <x v="6"/>
    </i>
    <i>
      <x v="5"/>
    </i>
    <i t="grand">
      <x/>
    </i>
  </rowItems>
  <colFields count="1">
    <field x="10"/>
  </colFields>
  <colItems count="2">
    <i>
      <x v="3"/>
    </i>
    <i t="grand">
      <x/>
    </i>
  </colItems>
  <dataFields count="1">
    <dataField name="Sum of Clean_Revenue" fld="22" baseField="14" baseItem="3" numFmtId="5"/>
  </dataFields>
  <chartFormats count="5">
    <chartFormat chart="3" format="10" series="1">
      <pivotArea type="data" outline="0" fieldPosition="0">
        <references count="2">
          <reference field="4294967294" count="1" selected="0">
            <x v="0"/>
          </reference>
          <reference field="10" count="1" selected="0">
            <x v="0"/>
          </reference>
        </references>
      </pivotArea>
    </chartFormat>
    <chartFormat chart="3" format="11" series="1">
      <pivotArea type="data" outline="0" fieldPosition="0">
        <references count="2">
          <reference field="4294967294" count="1" selected="0">
            <x v="0"/>
          </reference>
          <reference field="10" count="1" selected="0">
            <x v="1"/>
          </reference>
        </references>
      </pivotArea>
    </chartFormat>
    <chartFormat chart="3" format="12" series="1">
      <pivotArea type="data" outline="0" fieldPosition="0">
        <references count="2">
          <reference field="4294967294" count="1" selected="0">
            <x v="0"/>
          </reference>
          <reference field="10" count="1" selected="0">
            <x v="2"/>
          </reference>
        </references>
      </pivotArea>
    </chartFormat>
    <chartFormat chart="3" format="13" series="1">
      <pivotArea type="data" outline="0" fieldPosition="0">
        <references count="2">
          <reference field="4294967294" count="1" selected="0">
            <x v="0"/>
          </reference>
          <reference field="10" count="1" selected="0">
            <x v="3"/>
          </reference>
        </references>
      </pivotArea>
    </chartFormat>
    <chartFormat chart="3"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Product" xr10:uid="{31F38CCC-11A2-4FE7-B3FD-8AD88946EA75}" sourceName="Clean_Product">
  <pivotTables>
    <pivotTable tabId="6" name="PivotTable7"/>
  </pivotTables>
  <data>
    <tabular pivotCacheId="229135694">
      <items count="23">
        <i x="11" s="1"/>
        <i x="22" s="1"/>
        <i x="15" s="1"/>
        <i x="3" s="1"/>
        <i x="0" s="1"/>
        <i x="10" s="1"/>
        <i x="2" s="1"/>
        <i x="7" s="1"/>
        <i x="20" s="1"/>
        <i x="8" s="1"/>
        <i x="13" s="1" nd="1"/>
        <i x="17" s="1" nd="1"/>
        <i x="16" s="1" nd="1"/>
        <i x="4" s="1" nd="1"/>
        <i x="1" s="1" nd="1"/>
        <i x="5" s="1" nd="1"/>
        <i x="14" s="1" nd="1"/>
        <i x="9" s="1" nd="1"/>
        <i x="6" s="1" nd="1"/>
        <i x="19" s="1" nd="1"/>
        <i x="21" s="1" nd="1"/>
        <i x="18"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Category" xr10:uid="{84861FB8-2105-44EB-8727-3C40C38A5698}" sourceName="Clean_Category">
  <pivotTables>
    <pivotTable tabId="6" name="PivotTable7"/>
  </pivotTables>
  <data>
    <tabular pivotCacheId="229135694">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Country" xr10:uid="{6BD69285-089E-4271-A449-29E99B7898AA}" sourceName="Clean_Country">
  <pivotTables>
    <pivotTable tabId="6" name="PivotTable7"/>
  </pivotTables>
  <data>
    <tabular pivotCacheId="229135694">
      <items count="5">
        <i x="3"/>
        <i x="2"/>
        <i x="4"/>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Product" xr10:uid="{7E18B322-13EC-4925-9F38-683E961E6015}" cache="Slicer_Clean_Product" caption="Clean_Product" rowHeight="247650"/>
  <slicer name="Clean_Category" xr10:uid="{67196565-16F1-4F2D-98FC-8121C64A67A2}" cache="Slicer_Clean_Category" caption="Clean_Category" rowHeight="247650"/>
  <slicer name="Clean_Country" xr10:uid="{13E87554-3424-4431-A20D-49A772E32FC3}" cache="Slicer_Clean_Country" caption="Clean_Count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FA940-570A-4DFB-A27D-B1599FB47BD4}" name="Table1" displayName="Table1" ref="A1:AC51" totalsRowShown="0" headerRowDxfId="7">
  <autoFilter ref="A1:AC51" xr:uid="{A69FA940-570A-4DFB-A27D-B1599FB47BD4}"/>
  <tableColumns count="29">
    <tableColumn id="1" xr3:uid="{51BB5D3F-B548-4969-828F-84A486F4343A}" name="OrderID"/>
    <tableColumn id="2" xr3:uid="{109A3B72-DCE9-4477-80DD-EC6E94743766}" name="OrderDate"/>
    <tableColumn id="3" xr3:uid="{F55B4FFA-3E40-42C6-91B1-69E60D49F216}" name="Clean_OrderDate" dataDxfId="6"/>
    <tableColumn id="4" xr3:uid="{5425A511-A50B-4AE4-A823-1DB82A293D71}" name="CustomerName"/>
    <tableColumn id="5" xr3:uid="{21FDE0E9-36D2-4BCD-A31C-526648519129}" name="Clean_CustomerName">
      <calculatedColumnFormula>PROPER(TRIM(D2))</calculatedColumnFormula>
    </tableColumn>
    <tableColumn id="6" xr3:uid="{DFD67B33-8C40-482C-B1BF-7930ADFCE272}" name="Product"/>
    <tableColumn id="7" xr3:uid="{139895E8-B01F-4781-B8B3-FB4C631235FB}" name="Clean_Product">
      <calculatedColumnFormula>_xlfn.XLOOKUP(AG2,AH:AH,AI:AI,AG2)</calculatedColumnFormula>
    </tableColumn>
    <tableColumn id="8" xr3:uid="{C92EB401-04BA-4EA7-8043-A7DE4EF78F9A}" name="Category"/>
    <tableColumn id="9" xr3:uid="{94031221-DA8A-4D62-BF77-FFCF9CE86F3A}" name="Clean_Category">
      <calculatedColumnFormula>_xlfn.XLOOKUP(G2,$AM:$AM,$AN:$AN,"Not Found")</calculatedColumnFormula>
    </tableColumn>
    <tableColumn id="10" xr3:uid="{FBB3C50F-6BE9-489D-9A6A-E9F5BDC82416}" name="Country"/>
    <tableColumn id="11" xr3:uid="{AEFF5BE1-D6BC-4D88-80E9-D8541A19836B}" name="Clean_Country">
      <calculatedColumnFormula>_xlfn.XLOOKUP(AP2,$AQ:$AQ,$AR:$AR,"Not Found")</calculatedColumnFormula>
    </tableColumn>
    <tableColumn id="12" xr3:uid="{3A166C2A-D459-41F9-8AE3-08AA3E681B8D}" name="Region"/>
    <tableColumn id="13" xr3:uid="{42A30845-FF1D-4C10-83FD-D0D0C740643E}" name="Clean_Region">
      <calculatedColumnFormula>_xlfn.XLOOKUP(K2,$AT:$AT,$AU:$AU,"Not Found")</calculatedColumnFormula>
    </tableColumn>
    <tableColumn id="14" xr3:uid="{D0A79A4E-2144-47FB-9AA0-AB21E2BA004C}" name="SalesRep"/>
    <tableColumn id="15" xr3:uid="{052E12EF-0427-473B-B5F9-484522DD1207}" name="Clean_SalesRep">
      <calculatedColumnFormula>PROPER(TRIM(N2))</calculatedColumnFormula>
    </tableColumn>
    <tableColumn id="16" xr3:uid="{74189249-741F-477E-91E2-A198747F5F07}" name="Quantity"/>
    <tableColumn id="17" xr3:uid="{17D5B96E-C174-4A3D-BB95-3BE7C39F4DC4}" name="Clean_Quantity">
      <calculatedColumnFormula>IF(P2=" ",0,P2)</calculatedColumnFormula>
    </tableColumn>
    <tableColumn id="18" xr3:uid="{1CA1B832-4833-4364-A648-1D9F2B07F7EA}" name="UnitPrice" dataDxfId="5" dataCellStyle="Currency"/>
    <tableColumn id="19" xr3:uid="{9EE0B7B0-2042-4E0B-B89A-85444A8E4231}" name="Clean_UnitPrice" dataDxfId="4" dataCellStyle="Currency">
      <calculatedColumnFormula>VALUE(SUBSTITUTE(SUBSTITUTE(TRIM(R2),"$",""),",","."))</calculatedColumnFormula>
    </tableColumn>
    <tableColumn id="20" xr3:uid="{10B4EFC4-C2EB-4BD1-8631-43F54A43B124}" name="UnitCost"/>
    <tableColumn id="21" xr3:uid="{5FB67A6F-C184-4EAF-8850-2A55B70C0C76}" name="Clean_UnitCost">
      <calculatedColumnFormula>VALUE(SUBSTITUTE(SUBSTITUTE(TRIM(T2),"$",""),",","."))</calculatedColumnFormula>
    </tableColumn>
    <tableColumn id="22" xr3:uid="{1A389E7F-F00E-43C1-8B99-42DB5BD4DC5F}" name="Revenue">
      <calculatedColumnFormula>P2*R2</calculatedColumnFormula>
    </tableColumn>
    <tableColumn id="23" xr3:uid="{3B42629B-3362-410D-B3D5-01AB402A3597}" name="Clean_Revenue" dataDxfId="3">
      <calculatedColumnFormula>Q2*S2</calculatedColumnFormula>
    </tableColumn>
    <tableColumn id="24" xr3:uid="{C0A80391-8BA7-454F-91A0-BB6394818BBF}" name="TotalCost">
      <calculatedColumnFormula>P2*T2</calculatedColumnFormula>
    </tableColumn>
    <tableColumn id="25" xr3:uid="{002E03F0-174D-48EB-B490-1D0A817306F2}" name="Clean_TotalCost" dataDxfId="2" dataCellStyle="Currency">
      <calculatedColumnFormula>Q2*U2</calculatedColumnFormula>
    </tableColumn>
    <tableColumn id="26" xr3:uid="{4A99A316-D6A4-4475-9887-0301ACE8C10F}" name="Profit">
      <calculatedColumnFormula>V2/X2</calculatedColumnFormula>
    </tableColumn>
    <tableColumn id="27" xr3:uid="{9C8A9CC5-18D4-4ED1-8DD9-C0392BF92EEC}" name="Clean_Profit" dataDxfId="1">
      <calculatedColumnFormula>W2/Y2</calculatedColumnFormula>
    </tableColumn>
    <tableColumn id="28" xr3:uid="{F3951BD4-6FE1-4636-9A45-FA3ABB14A3C8}" name="ProfitMargin">
      <calculatedColumnFormula>Z2/V2</calculatedColumnFormula>
    </tableColumn>
    <tableColumn id="29" xr3:uid="{E3CE7A05-A41E-4D61-96FC-8A59B2DFA22C}" name="Clean_ProfitMargin" dataDxfId="0">
      <calculatedColumnFormula>AA2/W2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96F1-EF1D-4B4A-8FA3-4AC458F28D5F}">
  <dimension ref="A1:O51"/>
  <sheetViews>
    <sheetView zoomScale="90" zoomScaleNormal="90" workbookViewId="0">
      <selection activeCell="D20" sqref="D20"/>
    </sheetView>
  </sheetViews>
  <sheetFormatPr defaultRowHeight="14.4" x14ac:dyDescent="0.3"/>
  <cols>
    <col min="1" max="1" width="18.6640625" customWidth="1"/>
    <col min="2" max="2" width="34" customWidth="1"/>
    <col min="3" max="3" width="22.33203125" customWidth="1"/>
    <col min="4" max="17" width="18.6640625" customWidth="1"/>
  </cols>
  <sheetData>
    <row r="1" spans="1:15" x14ac:dyDescent="0.3">
      <c r="A1" t="s">
        <v>1</v>
      </c>
      <c r="B1" t="s">
        <v>2</v>
      </c>
      <c r="C1" t="s">
        <v>3</v>
      </c>
      <c r="D1" t="s">
        <v>4</v>
      </c>
      <c r="E1" t="s">
        <v>5</v>
      </c>
      <c r="F1" t="s">
        <v>0</v>
      </c>
      <c r="G1" t="s">
        <v>6</v>
      </c>
      <c r="H1" t="s">
        <v>7</v>
      </c>
      <c r="I1" t="s">
        <v>8</v>
      </c>
      <c r="J1" t="s">
        <v>9</v>
      </c>
      <c r="K1" t="s">
        <v>10</v>
      </c>
      <c r="L1" t="s">
        <v>11</v>
      </c>
      <c r="M1" t="s">
        <v>12</v>
      </c>
      <c r="N1" t="s">
        <v>13</v>
      </c>
      <c r="O1" t="s">
        <v>14</v>
      </c>
    </row>
    <row r="2" spans="1:15" x14ac:dyDescent="0.3">
      <c r="A2" t="s">
        <v>15</v>
      </c>
      <c r="B2" t="s">
        <v>65</v>
      </c>
      <c r="C2" t="s">
        <v>100</v>
      </c>
      <c r="D2" t="s">
        <v>146</v>
      </c>
      <c r="E2" t="s">
        <v>179</v>
      </c>
      <c r="F2" t="s">
        <v>194</v>
      </c>
      <c r="G2" t="s">
        <v>204</v>
      </c>
      <c r="H2" t="s">
        <v>207</v>
      </c>
      <c r="I2">
        <v>10</v>
      </c>
      <c r="J2" s="4">
        <v>25</v>
      </c>
      <c r="K2">
        <v>9</v>
      </c>
      <c r="L2">
        <f>I2*J2</f>
        <v>250</v>
      </c>
      <c r="M2">
        <f>I2*K2</f>
        <v>90</v>
      </c>
      <c r="N2">
        <f>L2-M2</f>
        <v>160</v>
      </c>
      <c r="O2">
        <f>N2/L2</f>
        <v>0.64</v>
      </c>
    </row>
    <row r="3" spans="1:15" x14ac:dyDescent="0.3">
      <c r="A3" t="s">
        <v>16</v>
      </c>
      <c r="B3" t="s">
        <v>66</v>
      </c>
      <c r="C3" t="s">
        <v>101</v>
      </c>
      <c r="D3" t="s">
        <v>147</v>
      </c>
      <c r="E3" t="s">
        <v>180</v>
      </c>
      <c r="F3" t="s">
        <v>195</v>
      </c>
      <c r="G3" t="s">
        <v>204</v>
      </c>
      <c r="H3" t="s">
        <v>208</v>
      </c>
      <c r="I3">
        <v>5</v>
      </c>
      <c r="J3" t="s">
        <v>220</v>
      </c>
      <c r="K3">
        <v>15</v>
      </c>
      <c r="L3" t="e">
        <f t="shared" ref="L3:L51" si="0">I3*J3</f>
        <v>#VALUE!</v>
      </c>
      <c r="M3">
        <f t="shared" ref="M3:M51" si="1">I3*K3</f>
        <v>75</v>
      </c>
      <c r="N3" t="e">
        <f t="shared" ref="N3:N51" si="2">L3-M3</f>
        <v>#VALUE!</v>
      </c>
      <c r="O3" t="e">
        <f t="shared" ref="O3:O51" si="3">N3/L3</f>
        <v>#VALUE!</v>
      </c>
    </row>
    <row r="4" spans="1:15" x14ac:dyDescent="0.3">
      <c r="A4" t="s">
        <v>17</v>
      </c>
      <c r="B4" t="s">
        <v>67</v>
      </c>
      <c r="C4" t="s">
        <v>102</v>
      </c>
      <c r="D4" t="s">
        <v>148</v>
      </c>
      <c r="E4" t="s">
        <v>179</v>
      </c>
      <c r="F4" t="s">
        <v>196</v>
      </c>
      <c r="G4" t="s">
        <v>205</v>
      </c>
      <c r="H4" t="s">
        <v>209</v>
      </c>
      <c r="I4">
        <v>3</v>
      </c>
      <c r="J4">
        <v>22</v>
      </c>
      <c r="K4">
        <v>9</v>
      </c>
      <c r="L4">
        <f t="shared" si="0"/>
        <v>66</v>
      </c>
      <c r="M4">
        <f t="shared" si="1"/>
        <v>27</v>
      </c>
      <c r="N4">
        <f t="shared" si="2"/>
        <v>39</v>
      </c>
      <c r="O4">
        <f t="shared" si="3"/>
        <v>0.59090909090909094</v>
      </c>
    </row>
    <row r="5" spans="1:15" x14ac:dyDescent="0.3">
      <c r="A5" t="s">
        <v>18</v>
      </c>
      <c r="B5" t="s">
        <v>68</v>
      </c>
      <c r="C5" t="s">
        <v>103</v>
      </c>
      <c r="D5" t="s">
        <v>149</v>
      </c>
      <c r="E5" t="s">
        <v>181</v>
      </c>
      <c r="F5" t="s">
        <v>194</v>
      </c>
      <c r="G5" t="s">
        <v>204</v>
      </c>
      <c r="H5" t="s">
        <v>207</v>
      </c>
      <c r="I5">
        <v>5</v>
      </c>
      <c r="J5">
        <v>18</v>
      </c>
      <c r="K5">
        <v>9</v>
      </c>
      <c r="L5">
        <f t="shared" si="0"/>
        <v>90</v>
      </c>
      <c r="M5">
        <f t="shared" si="1"/>
        <v>45</v>
      </c>
      <c r="N5">
        <f t="shared" si="2"/>
        <v>45</v>
      </c>
      <c r="O5">
        <f t="shared" si="3"/>
        <v>0.5</v>
      </c>
    </row>
    <row r="6" spans="1:15" x14ac:dyDescent="0.3">
      <c r="A6" t="s">
        <v>19</v>
      </c>
      <c r="B6" t="s">
        <v>69</v>
      </c>
      <c r="C6" t="s">
        <v>104</v>
      </c>
      <c r="D6" t="s">
        <v>150</v>
      </c>
      <c r="E6" t="s">
        <v>182</v>
      </c>
      <c r="F6" t="s">
        <v>197</v>
      </c>
      <c r="G6" t="s">
        <v>204</v>
      </c>
      <c r="H6" t="s">
        <v>207</v>
      </c>
      <c r="I6">
        <v>-4</v>
      </c>
      <c r="J6" s="5">
        <v>1450</v>
      </c>
      <c r="K6">
        <v>900</v>
      </c>
      <c r="L6">
        <f t="shared" si="0"/>
        <v>-5800</v>
      </c>
      <c r="M6">
        <f t="shared" si="1"/>
        <v>-3600</v>
      </c>
      <c r="N6">
        <f t="shared" si="2"/>
        <v>-2200</v>
      </c>
      <c r="O6">
        <f t="shared" si="3"/>
        <v>0.37931034482758619</v>
      </c>
    </row>
    <row r="7" spans="1:15" x14ac:dyDescent="0.3">
      <c r="A7" t="s">
        <v>20</v>
      </c>
      <c r="B7" t="s">
        <v>71</v>
      </c>
      <c r="C7" t="s">
        <v>105</v>
      </c>
      <c r="D7" t="s">
        <v>151</v>
      </c>
      <c r="E7" t="s">
        <v>179</v>
      </c>
      <c r="F7" t="s">
        <v>198</v>
      </c>
      <c r="G7" t="s">
        <v>206</v>
      </c>
      <c r="H7" t="s">
        <v>210</v>
      </c>
      <c r="I7">
        <v>1</v>
      </c>
      <c r="J7">
        <v>9</v>
      </c>
      <c r="K7" t="s">
        <v>224</v>
      </c>
      <c r="L7">
        <f t="shared" si="0"/>
        <v>9</v>
      </c>
      <c r="M7" t="e">
        <f t="shared" si="1"/>
        <v>#VALUE!</v>
      </c>
      <c r="N7" t="e">
        <f t="shared" si="2"/>
        <v>#VALUE!</v>
      </c>
      <c r="O7" t="e">
        <f t="shared" si="3"/>
        <v>#VALUE!</v>
      </c>
    </row>
    <row r="8" spans="1:15" x14ac:dyDescent="0.3">
      <c r="A8" t="s">
        <v>21</v>
      </c>
      <c r="B8" t="s">
        <v>70</v>
      </c>
      <c r="C8" t="s">
        <v>106</v>
      </c>
      <c r="D8" t="s">
        <v>152</v>
      </c>
      <c r="E8" t="s">
        <v>179</v>
      </c>
      <c r="F8" t="s">
        <v>199</v>
      </c>
      <c r="G8" t="s">
        <v>204</v>
      </c>
      <c r="H8" t="s">
        <v>207</v>
      </c>
      <c r="I8">
        <v>2</v>
      </c>
      <c r="J8">
        <v>1400</v>
      </c>
      <c r="K8">
        <v>1100</v>
      </c>
      <c r="L8">
        <f t="shared" si="0"/>
        <v>2800</v>
      </c>
      <c r="M8">
        <f t="shared" si="1"/>
        <v>2200</v>
      </c>
      <c r="N8">
        <f t="shared" si="2"/>
        <v>600</v>
      </c>
      <c r="O8">
        <f t="shared" si="3"/>
        <v>0.21428571428571427</v>
      </c>
    </row>
    <row r="9" spans="1:15" x14ac:dyDescent="0.3">
      <c r="A9" t="s">
        <v>22</v>
      </c>
      <c r="B9" s="1">
        <v>44958</v>
      </c>
      <c r="C9" t="s">
        <v>107</v>
      </c>
      <c r="D9" t="s">
        <v>153</v>
      </c>
      <c r="E9" t="s">
        <v>183</v>
      </c>
      <c r="F9" t="s">
        <v>200</v>
      </c>
      <c r="G9" t="s">
        <v>211</v>
      </c>
      <c r="H9" t="s">
        <v>212</v>
      </c>
      <c r="I9">
        <v>1</v>
      </c>
      <c r="J9">
        <v>250</v>
      </c>
      <c r="K9">
        <v>80</v>
      </c>
      <c r="L9">
        <f t="shared" si="0"/>
        <v>250</v>
      </c>
      <c r="M9">
        <f t="shared" si="1"/>
        <v>80</v>
      </c>
      <c r="N9">
        <f t="shared" si="2"/>
        <v>170</v>
      </c>
      <c r="O9">
        <f t="shared" si="3"/>
        <v>0.68</v>
      </c>
    </row>
    <row r="10" spans="1:15" x14ac:dyDescent="0.3">
      <c r="A10" t="s">
        <v>23</v>
      </c>
      <c r="B10" s="1">
        <v>44988</v>
      </c>
      <c r="C10" t="s">
        <v>108</v>
      </c>
      <c r="D10" t="s">
        <v>154</v>
      </c>
      <c r="E10" t="s">
        <v>184</v>
      </c>
      <c r="F10" t="s">
        <v>194</v>
      </c>
      <c r="G10" t="s">
        <v>204</v>
      </c>
      <c r="H10" t="s">
        <v>213</v>
      </c>
      <c r="I10">
        <v>10</v>
      </c>
      <c r="J10">
        <v>1550</v>
      </c>
      <c r="K10">
        <v>1650</v>
      </c>
      <c r="L10">
        <f t="shared" si="0"/>
        <v>15500</v>
      </c>
      <c r="M10">
        <f t="shared" si="1"/>
        <v>16500</v>
      </c>
      <c r="N10">
        <f t="shared" si="2"/>
        <v>-1000</v>
      </c>
      <c r="O10">
        <f t="shared" si="3"/>
        <v>-6.4516129032258063E-2</v>
      </c>
    </row>
    <row r="11" spans="1:15" x14ac:dyDescent="0.3">
      <c r="A11" t="s">
        <v>24</v>
      </c>
      <c r="B11" t="s">
        <v>72</v>
      </c>
      <c r="C11" t="s">
        <v>109</v>
      </c>
      <c r="D11" t="s">
        <v>155</v>
      </c>
      <c r="E11" t="s">
        <v>185</v>
      </c>
      <c r="F11" t="s">
        <v>194</v>
      </c>
      <c r="G11" t="s">
        <v>205</v>
      </c>
      <c r="H11" t="s">
        <v>212</v>
      </c>
      <c r="I11" t="s">
        <v>217</v>
      </c>
      <c r="J11">
        <v>105</v>
      </c>
      <c r="K11">
        <v>50</v>
      </c>
      <c r="L11" t="e">
        <f t="shared" si="0"/>
        <v>#VALUE!</v>
      </c>
      <c r="M11" t="e">
        <f t="shared" si="1"/>
        <v>#VALUE!</v>
      </c>
      <c r="N11" t="e">
        <f t="shared" si="2"/>
        <v>#VALUE!</v>
      </c>
      <c r="O11" t="e">
        <f t="shared" si="3"/>
        <v>#VALUE!</v>
      </c>
    </row>
    <row r="12" spans="1:15" x14ac:dyDescent="0.3">
      <c r="A12" t="s">
        <v>25</v>
      </c>
      <c r="C12" t="s">
        <v>110</v>
      </c>
      <c r="D12" t="s">
        <v>156</v>
      </c>
      <c r="E12">
        <v>123</v>
      </c>
      <c r="F12" t="s">
        <v>195</v>
      </c>
      <c r="G12" t="s">
        <v>204</v>
      </c>
      <c r="H12" t="s">
        <v>214</v>
      </c>
      <c r="I12">
        <v>1</v>
      </c>
      <c r="J12">
        <v>190</v>
      </c>
      <c r="K12">
        <v>40</v>
      </c>
      <c r="L12">
        <f t="shared" si="0"/>
        <v>190</v>
      </c>
      <c r="M12">
        <f t="shared" si="1"/>
        <v>40</v>
      </c>
      <c r="N12">
        <f t="shared" si="2"/>
        <v>150</v>
      </c>
      <c r="O12">
        <f t="shared" si="3"/>
        <v>0.78947368421052633</v>
      </c>
    </row>
    <row r="13" spans="1:15" x14ac:dyDescent="0.3">
      <c r="A13" t="s">
        <v>26</v>
      </c>
      <c r="C13" t="s">
        <v>111</v>
      </c>
      <c r="D13" t="s">
        <v>157</v>
      </c>
      <c r="E13" t="s">
        <v>186</v>
      </c>
      <c r="F13" t="s">
        <v>196</v>
      </c>
      <c r="G13" t="s">
        <v>205</v>
      </c>
      <c r="H13" t="s">
        <v>209</v>
      </c>
      <c r="J13" t="s">
        <v>221</v>
      </c>
      <c r="K13">
        <v>299</v>
      </c>
      <c r="L13" t="e">
        <f t="shared" si="0"/>
        <v>#VALUE!</v>
      </c>
      <c r="M13">
        <f t="shared" si="1"/>
        <v>0</v>
      </c>
      <c r="N13" t="e">
        <f t="shared" si="2"/>
        <v>#VALUE!</v>
      </c>
      <c r="O13" t="e">
        <f t="shared" si="3"/>
        <v>#VALUE!</v>
      </c>
    </row>
    <row r="14" spans="1:15" x14ac:dyDescent="0.3">
      <c r="A14" t="s">
        <v>27</v>
      </c>
      <c r="B14" t="s">
        <v>73</v>
      </c>
      <c r="C14" t="s">
        <v>112</v>
      </c>
      <c r="D14" t="s">
        <v>158</v>
      </c>
      <c r="E14" t="s">
        <v>187</v>
      </c>
      <c r="F14" t="s">
        <v>194</v>
      </c>
      <c r="G14" t="s">
        <v>204</v>
      </c>
      <c r="H14" t="s">
        <v>207</v>
      </c>
      <c r="I14">
        <v>0</v>
      </c>
      <c r="J14">
        <v>2424</v>
      </c>
      <c r="K14">
        <v>1212</v>
      </c>
      <c r="L14">
        <f t="shared" si="0"/>
        <v>0</v>
      </c>
      <c r="M14">
        <f t="shared" si="1"/>
        <v>0</v>
      </c>
      <c r="N14">
        <f t="shared" si="2"/>
        <v>0</v>
      </c>
      <c r="O14" t="e">
        <f t="shared" si="3"/>
        <v>#DIV/0!</v>
      </c>
    </row>
    <row r="15" spans="1:15" x14ac:dyDescent="0.3">
      <c r="A15" t="s">
        <v>28</v>
      </c>
      <c r="B15" t="s">
        <v>74</v>
      </c>
      <c r="C15" t="s">
        <v>113</v>
      </c>
      <c r="D15" t="s">
        <v>159</v>
      </c>
      <c r="E15" t="s">
        <v>188</v>
      </c>
      <c r="F15" t="s">
        <v>197</v>
      </c>
      <c r="G15" t="s">
        <v>204</v>
      </c>
      <c r="H15" t="s">
        <v>207</v>
      </c>
      <c r="I15">
        <v>3</v>
      </c>
      <c r="J15" t="s">
        <v>222</v>
      </c>
      <c r="K15">
        <v>225</v>
      </c>
      <c r="L15" t="e">
        <f t="shared" si="0"/>
        <v>#VALUE!</v>
      </c>
      <c r="M15">
        <f t="shared" si="1"/>
        <v>675</v>
      </c>
      <c r="N15" t="e">
        <f t="shared" si="2"/>
        <v>#VALUE!</v>
      </c>
      <c r="O15" t="e">
        <f t="shared" si="3"/>
        <v>#VALUE!</v>
      </c>
    </row>
    <row r="16" spans="1:15" x14ac:dyDescent="0.3">
      <c r="A16" t="s">
        <v>29</v>
      </c>
      <c r="B16" t="s">
        <v>75</v>
      </c>
      <c r="C16" t="s">
        <v>114</v>
      </c>
      <c r="D16" t="s">
        <v>160</v>
      </c>
      <c r="F16" t="s">
        <v>198</v>
      </c>
      <c r="G16" t="s">
        <v>206</v>
      </c>
      <c r="H16" t="s">
        <v>210</v>
      </c>
      <c r="I16">
        <v>1</v>
      </c>
      <c r="J16">
        <v>140</v>
      </c>
      <c r="K16">
        <v>54</v>
      </c>
      <c r="L16">
        <f t="shared" si="0"/>
        <v>140</v>
      </c>
      <c r="M16">
        <f t="shared" si="1"/>
        <v>54</v>
      </c>
      <c r="N16">
        <f t="shared" si="2"/>
        <v>86</v>
      </c>
      <c r="O16">
        <f t="shared" si="3"/>
        <v>0.61428571428571432</v>
      </c>
    </row>
    <row r="17" spans="1:15" x14ac:dyDescent="0.3">
      <c r="A17" t="s">
        <v>30</v>
      </c>
      <c r="B17" s="2" t="s">
        <v>76</v>
      </c>
      <c r="C17" t="s">
        <v>115</v>
      </c>
      <c r="D17" t="s">
        <v>148</v>
      </c>
      <c r="E17" t="s">
        <v>179</v>
      </c>
      <c r="F17" t="s">
        <v>199</v>
      </c>
      <c r="G17" t="s">
        <v>204</v>
      </c>
      <c r="H17" t="s">
        <v>207</v>
      </c>
      <c r="I17">
        <v>8</v>
      </c>
      <c r="J17">
        <v>28</v>
      </c>
      <c r="K17">
        <v>9</v>
      </c>
      <c r="L17">
        <f t="shared" si="0"/>
        <v>224</v>
      </c>
      <c r="M17">
        <f t="shared" si="1"/>
        <v>72</v>
      </c>
      <c r="N17">
        <f t="shared" si="2"/>
        <v>152</v>
      </c>
      <c r="O17">
        <f t="shared" si="3"/>
        <v>0.6785714285714286</v>
      </c>
    </row>
    <row r="18" spans="1:15" x14ac:dyDescent="0.3">
      <c r="A18" t="s">
        <v>31</v>
      </c>
      <c r="B18" s="2" t="s">
        <v>76</v>
      </c>
      <c r="C18" t="s">
        <v>115</v>
      </c>
      <c r="D18" t="s">
        <v>161</v>
      </c>
      <c r="E18" t="s">
        <v>193</v>
      </c>
      <c r="F18" t="s">
        <v>200</v>
      </c>
      <c r="G18" t="s">
        <v>205</v>
      </c>
      <c r="H18" t="s">
        <v>209</v>
      </c>
      <c r="I18" t="s">
        <v>218</v>
      </c>
      <c r="J18">
        <v>110</v>
      </c>
      <c r="K18">
        <v>75</v>
      </c>
      <c r="L18" t="e">
        <f t="shared" si="0"/>
        <v>#VALUE!</v>
      </c>
      <c r="M18" t="e">
        <f t="shared" si="1"/>
        <v>#VALUE!</v>
      </c>
      <c r="N18" t="e">
        <f t="shared" si="2"/>
        <v>#VALUE!</v>
      </c>
      <c r="O18" t="e">
        <f t="shared" si="3"/>
        <v>#VALUE!</v>
      </c>
    </row>
    <row r="19" spans="1:15" x14ac:dyDescent="0.3">
      <c r="A19" t="s">
        <v>32</v>
      </c>
      <c r="B19" s="2"/>
      <c r="C19" t="s">
        <v>116</v>
      </c>
      <c r="D19" t="s">
        <v>162</v>
      </c>
      <c r="E19" t="s">
        <v>189</v>
      </c>
      <c r="F19" t="s">
        <v>194</v>
      </c>
      <c r="G19" t="s">
        <v>204</v>
      </c>
      <c r="H19" t="s">
        <v>207</v>
      </c>
      <c r="I19">
        <v>1</v>
      </c>
      <c r="J19">
        <v>122</v>
      </c>
      <c r="K19">
        <v>50</v>
      </c>
      <c r="L19">
        <f t="shared" si="0"/>
        <v>122</v>
      </c>
      <c r="M19">
        <f t="shared" si="1"/>
        <v>50</v>
      </c>
      <c r="N19">
        <f t="shared" si="2"/>
        <v>72</v>
      </c>
      <c r="O19">
        <f t="shared" si="3"/>
        <v>0.5901639344262295</v>
      </c>
    </row>
    <row r="20" spans="1:15" x14ac:dyDescent="0.3">
      <c r="A20" t="s">
        <v>33</v>
      </c>
      <c r="B20" t="s">
        <v>77</v>
      </c>
      <c r="C20" t="s">
        <v>117</v>
      </c>
      <c r="D20" t="s">
        <v>163</v>
      </c>
      <c r="E20" t="s">
        <v>188</v>
      </c>
      <c r="F20" t="s">
        <v>195</v>
      </c>
      <c r="G20" t="s">
        <v>204</v>
      </c>
      <c r="H20" t="s">
        <v>213</v>
      </c>
      <c r="I20">
        <v>1</v>
      </c>
      <c r="J20">
        <v>190</v>
      </c>
      <c r="K20">
        <v>40</v>
      </c>
      <c r="L20">
        <f t="shared" si="0"/>
        <v>190</v>
      </c>
      <c r="M20">
        <f t="shared" si="1"/>
        <v>40</v>
      </c>
      <c r="N20">
        <f t="shared" si="2"/>
        <v>150</v>
      </c>
      <c r="O20">
        <f t="shared" si="3"/>
        <v>0.78947368421052633</v>
      </c>
    </row>
    <row r="21" spans="1:15" x14ac:dyDescent="0.3">
      <c r="A21" t="s">
        <v>34</v>
      </c>
      <c r="B21" t="s">
        <v>78</v>
      </c>
      <c r="C21" t="s">
        <v>118</v>
      </c>
      <c r="D21" t="s">
        <v>154</v>
      </c>
      <c r="F21" t="s">
        <v>201</v>
      </c>
      <c r="G21" t="s">
        <v>205</v>
      </c>
      <c r="H21" t="s">
        <v>212</v>
      </c>
      <c r="I21">
        <v>2</v>
      </c>
      <c r="J21">
        <v>1450</v>
      </c>
      <c r="K21">
        <v>900</v>
      </c>
      <c r="L21">
        <f t="shared" si="0"/>
        <v>2900</v>
      </c>
      <c r="M21">
        <f t="shared" si="1"/>
        <v>1800</v>
      </c>
      <c r="N21">
        <f t="shared" si="2"/>
        <v>1100</v>
      </c>
      <c r="O21">
        <f t="shared" si="3"/>
        <v>0.37931034482758619</v>
      </c>
    </row>
    <row r="22" spans="1:15" x14ac:dyDescent="0.3">
      <c r="A22" t="s">
        <v>35</v>
      </c>
      <c r="B22" s="1">
        <v>45778</v>
      </c>
      <c r="C22" t="s">
        <v>119</v>
      </c>
      <c r="D22" t="s">
        <v>164</v>
      </c>
      <c r="E22" t="s">
        <v>179</v>
      </c>
      <c r="F22" t="s">
        <v>202</v>
      </c>
      <c r="G22" t="s">
        <v>205</v>
      </c>
      <c r="H22" t="s">
        <v>212</v>
      </c>
      <c r="I22">
        <v>1</v>
      </c>
      <c r="J22" t="s">
        <v>223</v>
      </c>
      <c r="K22">
        <v>400</v>
      </c>
      <c r="L22" t="e">
        <f t="shared" si="0"/>
        <v>#VALUE!</v>
      </c>
      <c r="M22">
        <f t="shared" si="1"/>
        <v>400</v>
      </c>
      <c r="N22" t="e">
        <f t="shared" si="2"/>
        <v>#VALUE!</v>
      </c>
      <c r="O22" t="e">
        <f t="shared" si="3"/>
        <v>#VALUE!</v>
      </c>
    </row>
    <row r="23" spans="1:15" x14ac:dyDescent="0.3">
      <c r="A23" t="s">
        <v>36</v>
      </c>
      <c r="B23" t="s">
        <v>79</v>
      </c>
      <c r="C23" t="s">
        <v>120</v>
      </c>
      <c r="D23" t="s">
        <v>165</v>
      </c>
      <c r="E23" t="s">
        <v>179</v>
      </c>
      <c r="F23" t="s">
        <v>194</v>
      </c>
      <c r="G23" t="s">
        <v>204</v>
      </c>
      <c r="H23" t="s">
        <v>207</v>
      </c>
      <c r="I23">
        <v>1</v>
      </c>
      <c r="J23">
        <v>550</v>
      </c>
      <c r="K23">
        <v>221</v>
      </c>
      <c r="L23">
        <f t="shared" si="0"/>
        <v>550</v>
      </c>
      <c r="M23">
        <f t="shared" si="1"/>
        <v>221</v>
      </c>
      <c r="N23">
        <f t="shared" si="2"/>
        <v>329</v>
      </c>
      <c r="O23">
        <f t="shared" si="3"/>
        <v>0.59818181818181815</v>
      </c>
    </row>
    <row r="24" spans="1:15" x14ac:dyDescent="0.3">
      <c r="A24" t="s">
        <v>37</v>
      </c>
      <c r="B24" t="s">
        <v>80</v>
      </c>
      <c r="C24" t="s">
        <v>121</v>
      </c>
      <c r="D24" t="s">
        <v>146</v>
      </c>
      <c r="E24" t="s">
        <v>179</v>
      </c>
      <c r="F24" t="s">
        <v>194</v>
      </c>
      <c r="G24" t="s">
        <v>204</v>
      </c>
      <c r="H24" t="s">
        <v>213</v>
      </c>
      <c r="I24">
        <v>14</v>
      </c>
      <c r="J24">
        <v>28</v>
      </c>
      <c r="K24">
        <v>15</v>
      </c>
      <c r="L24">
        <f t="shared" si="0"/>
        <v>392</v>
      </c>
      <c r="M24">
        <f t="shared" si="1"/>
        <v>210</v>
      </c>
      <c r="N24">
        <f t="shared" si="2"/>
        <v>182</v>
      </c>
      <c r="O24">
        <f t="shared" si="3"/>
        <v>0.4642857142857143</v>
      </c>
    </row>
    <row r="25" spans="1:15" x14ac:dyDescent="0.3">
      <c r="A25" t="s">
        <v>38</v>
      </c>
      <c r="B25" t="s">
        <v>81</v>
      </c>
      <c r="C25" t="s">
        <v>122</v>
      </c>
      <c r="D25" t="s">
        <v>152</v>
      </c>
      <c r="E25" t="s">
        <v>182</v>
      </c>
      <c r="F25" t="s">
        <v>196</v>
      </c>
      <c r="G25" t="s">
        <v>205</v>
      </c>
      <c r="H25" t="s">
        <v>209</v>
      </c>
      <c r="I25">
        <v>6</v>
      </c>
      <c r="J25">
        <v>1440</v>
      </c>
      <c r="K25">
        <v>1100</v>
      </c>
      <c r="L25">
        <f t="shared" si="0"/>
        <v>8640</v>
      </c>
      <c r="M25">
        <f t="shared" si="1"/>
        <v>6600</v>
      </c>
      <c r="N25">
        <f t="shared" si="2"/>
        <v>2040</v>
      </c>
      <c r="O25">
        <f t="shared" si="3"/>
        <v>0.2361111111111111</v>
      </c>
    </row>
    <row r="26" spans="1:15" x14ac:dyDescent="0.3">
      <c r="A26" t="s">
        <v>39</v>
      </c>
      <c r="B26" s="1">
        <v>45719</v>
      </c>
      <c r="C26" t="s">
        <v>123</v>
      </c>
      <c r="D26" t="s">
        <v>166</v>
      </c>
      <c r="E26" t="s">
        <v>190</v>
      </c>
      <c r="F26" t="s">
        <v>203</v>
      </c>
      <c r="G26" t="s">
        <v>205</v>
      </c>
      <c r="H26" t="s">
        <v>212</v>
      </c>
      <c r="I26">
        <v>38</v>
      </c>
      <c r="J26">
        <v>15</v>
      </c>
      <c r="K26">
        <v>7</v>
      </c>
      <c r="L26">
        <f t="shared" si="0"/>
        <v>570</v>
      </c>
      <c r="M26">
        <f t="shared" si="1"/>
        <v>266</v>
      </c>
      <c r="N26">
        <f t="shared" si="2"/>
        <v>304</v>
      </c>
      <c r="O26">
        <f t="shared" si="3"/>
        <v>0.53333333333333333</v>
      </c>
    </row>
    <row r="27" spans="1:15" x14ac:dyDescent="0.3">
      <c r="A27" t="s">
        <v>40</v>
      </c>
      <c r="B27" s="1">
        <v>45752</v>
      </c>
      <c r="D27" t="s">
        <v>167</v>
      </c>
      <c r="E27" t="s">
        <v>179</v>
      </c>
      <c r="F27" t="s">
        <v>194</v>
      </c>
      <c r="G27" t="s">
        <v>204</v>
      </c>
      <c r="H27" t="s">
        <v>215</v>
      </c>
      <c r="I27">
        <v>14</v>
      </c>
      <c r="J27">
        <v>28</v>
      </c>
      <c r="K27">
        <v>9</v>
      </c>
      <c r="L27">
        <f t="shared" si="0"/>
        <v>392</v>
      </c>
      <c r="M27">
        <f t="shared" si="1"/>
        <v>126</v>
      </c>
      <c r="N27">
        <f t="shared" si="2"/>
        <v>266</v>
      </c>
      <c r="O27">
        <f t="shared" si="3"/>
        <v>0.6785714285714286</v>
      </c>
    </row>
    <row r="28" spans="1:15" x14ac:dyDescent="0.3">
      <c r="A28" t="s">
        <v>41</v>
      </c>
      <c r="B28" t="s">
        <v>82</v>
      </c>
      <c r="C28" t="s">
        <v>124</v>
      </c>
      <c r="D28" t="s">
        <v>168</v>
      </c>
      <c r="E28" t="s">
        <v>182</v>
      </c>
      <c r="F28" t="s">
        <v>195</v>
      </c>
      <c r="G28" t="s">
        <v>204</v>
      </c>
      <c r="H28" t="s">
        <v>215</v>
      </c>
      <c r="I28">
        <v>5</v>
      </c>
      <c r="J28">
        <v>1460</v>
      </c>
      <c r="K28">
        <v>1100</v>
      </c>
      <c r="L28">
        <f t="shared" si="0"/>
        <v>7300</v>
      </c>
      <c r="M28">
        <f t="shared" si="1"/>
        <v>5500</v>
      </c>
      <c r="N28">
        <f t="shared" si="2"/>
        <v>1800</v>
      </c>
      <c r="O28">
        <f t="shared" si="3"/>
        <v>0.24657534246575341</v>
      </c>
    </row>
    <row r="29" spans="1:15" x14ac:dyDescent="0.3">
      <c r="A29" t="s">
        <v>42</v>
      </c>
      <c r="B29" t="s">
        <v>83</v>
      </c>
      <c r="C29" t="s">
        <v>125</v>
      </c>
      <c r="D29" t="s">
        <v>169</v>
      </c>
      <c r="E29" t="s">
        <v>191</v>
      </c>
      <c r="F29" t="s">
        <v>196</v>
      </c>
      <c r="G29" t="s">
        <v>205</v>
      </c>
      <c r="H29" t="s">
        <v>209</v>
      </c>
      <c r="I29">
        <v>25</v>
      </c>
      <c r="J29">
        <v>-400</v>
      </c>
      <c r="K29">
        <v>220</v>
      </c>
      <c r="L29">
        <f t="shared" si="0"/>
        <v>-10000</v>
      </c>
      <c r="M29">
        <f t="shared" si="1"/>
        <v>5500</v>
      </c>
      <c r="N29">
        <f t="shared" si="2"/>
        <v>-15500</v>
      </c>
      <c r="O29">
        <f t="shared" si="3"/>
        <v>1.55</v>
      </c>
    </row>
    <row r="30" spans="1:15" x14ac:dyDescent="0.3">
      <c r="A30" t="s">
        <v>43</v>
      </c>
      <c r="B30" t="s">
        <v>84</v>
      </c>
      <c r="C30" t="s">
        <v>139</v>
      </c>
      <c r="D30" t="s">
        <v>170</v>
      </c>
      <c r="E30" t="s">
        <v>179</v>
      </c>
      <c r="F30" t="s">
        <v>194</v>
      </c>
      <c r="G30" t="s">
        <v>204</v>
      </c>
      <c r="H30" t="s">
        <v>207</v>
      </c>
      <c r="I30">
        <v>10</v>
      </c>
      <c r="J30">
        <v>25</v>
      </c>
      <c r="K30">
        <v>9</v>
      </c>
      <c r="L30">
        <f t="shared" si="0"/>
        <v>250</v>
      </c>
      <c r="M30">
        <f t="shared" si="1"/>
        <v>90</v>
      </c>
      <c r="N30">
        <f t="shared" si="2"/>
        <v>160</v>
      </c>
      <c r="O30">
        <f t="shared" si="3"/>
        <v>0.64</v>
      </c>
    </row>
    <row r="31" spans="1:15" x14ac:dyDescent="0.3">
      <c r="A31" t="s">
        <v>44</v>
      </c>
      <c r="B31" t="s">
        <v>84</v>
      </c>
      <c r="C31" t="s">
        <v>126</v>
      </c>
      <c r="D31" t="s">
        <v>171</v>
      </c>
      <c r="F31" t="s">
        <v>197</v>
      </c>
      <c r="G31" t="s">
        <v>204</v>
      </c>
      <c r="H31" t="s">
        <v>215</v>
      </c>
      <c r="I31">
        <v>25</v>
      </c>
      <c r="J31">
        <v>55</v>
      </c>
      <c r="K31">
        <v>9</v>
      </c>
      <c r="L31">
        <f t="shared" si="0"/>
        <v>1375</v>
      </c>
      <c r="M31">
        <f t="shared" si="1"/>
        <v>225</v>
      </c>
      <c r="N31">
        <f t="shared" si="2"/>
        <v>1150</v>
      </c>
      <c r="O31">
        <f t="shared" si="3"/>
        <v>0.83636363636363631</v>
      </c>
    </row>
    <row r="32" spans="1:15" x14ac:dyDescent="0.3">
      <c r="A32" t="s">
        <v>45</v>
      </c>
      <c r="B32" t="s">
        <v>85</v>
      </c>
      <c r="C32" t="s">
        <v>127</v>
      </c>
      <c r="D32" t="s">
        <v>172</v>
      </c>
      <c r="E32" t="s">
        <v>185</v>
      </c>
      <c r="F32" t="s">
        <v>198</v>
      </c>
      <c r="G32" t="s">
        <v>206</v>
      </c>
      <c r="H32" t="s">
        <v>216</v>
      </c>
      <c r="I32">
        <v>48</v>
      </c>
      <c r="J32">
        <v>65</v>
      </c>
      <c r="K32">
        <v>21</v>
      </c>
      <c r="L32">
        <f t="shared" si="0"/>
        <v>3120</v>
      </c>
      <c r="M32">
        <f t="shared" si="1"/>
        <v>1008</v>
      </c>
      <c r="N32">
        <f t="shared" si="2"/>
        <v>2112</v>
      </c>
      <c r="O32">
        <f t="shared" si="3"/>
        <v>0.67692307692307696</v>
      </c>
    </row>
    <row r="33" spans="1:15" x14ac:dyDescent="0.3">
      <c r="A33" t="s">
        <v>46</v>
      </c>
      <c r="B33" t="s">
        <v>86</v>
      </c>
      <c r="C33" t="s">
        <v>128</v>
      </c>
      <c r="D33" t="s">
        <v>159</v>
      </c>
      <c r="E33" t="s">
        <v>188</v>
      </c>
      <c r="F33" t="s">
        <v>199</v>
      </c>
      <c r="G33" t="s">
        <v>204</v>
      </c>
      <c r="H33" t="s">
        <v>207</v>
      </c>
      <c r="I33">
        <v>44</v>
      </c>
      <c r="J33">
        <v>330</v>
      </c>
      <c r="K33">
        <v>225</v>
      </c>
      <c r="L33">
        <f t="shared" si="0"/>
        <v>14520</v>
      </c>
      <c r="M33">
        <f t="shared" si="1"/>
        <v>9900</v>
      </c>
      <c r="N33">
        <f t="shared" si="2"/>
        <v>4620</v>
      </c>
      <c r="O33">
        <f t="shared" si="3"/>
        <v>0.31818181818181818</v>
      </c>
    </row>
    <row r="34" spans="1:15" x14ac:dyDescent="0.3">
      <c r="A34" t="s">
        <v>47</v>
      </c>
      <c r="B34" s="3">
        <v>45725</v>
      </c>
      <c r="C34" t="s">
        <v>129</v>
      </c>
      <c r="D34" t="s">
        <v>173</v>
      </c>
      <c r="E34" t="s">
        <v>188</v>
      </c>
      <c r="F34" t="s">
        <v>200</v>
      </c>
      <c r="G34" t="s">
        <v>205</v>
      </c>
      <c r="H34" t="s">
        <v>209</v>
      </c>
      <c r="I34">
        <v>70</v>
      </c>
      <c r="J34">
        <v>140</v>
      </c>
      <c r="K34">
        <v>54</v>
      </c>
      <c r="L34">
        <f t="shared" si="0"/>
        <v>9800</v>
      </c>
      <c r="M34">
        <f t="shared" si="1"/>
        <v>3780</v>
      </c>
      <c r="N34">
        <f t="shared" si="2"/>
        <v>6020</v>
      </c>
      <c r="O34">
        <f t="shared" si="3"/>
        <v>0.61428571428571432</v>
      </c>
    </row>
    <row r="35" spans="1:15" x14ac:dyDescent="0.3">
      <c r="A35" t="s">
        <v>48</v>
      </c>
      <c r="B35" s="1">
        <v>45756</v>
      </c>
      <c r="C35" t="s">
        <v>139</v>
      </c>
      <c r="D35" t="s">
        <v>165</v>
      </c>
      <c r="E35" t="s">
        <v>179</v>
      </c>
      <c r="F35" t="s">
        <v>194</v>
      </c>
      <c r="G35" t="s">
        <v>204</v>
      </c>
      <c r="H35" t="s">
        <v>213</v>
      </c>
      <c r="I35">
        <v>1</v>
      </c>
      <c r="J35">
        <v>559</v>
      </c>
      <c r="K35">
        <v>221</v>
      </c>
      <c r="L35">
        <f t="shared" si="0"/>
        <v>559</v>
      </c>
      <c r="M35">
        <f t="shared" si="1"/>
        <v>221</v>
      </c>
      <c r="N35">
        <f t="shared" si="2"/>
        <v>338</v>
      </c>
      <c r="O35">
        <f t="shared" si="3"/>
        <v>0.60465116279069764</v>
      </c>
    </row>
    <row r="36" spans="1:15" x14ac:dyDescent="0.3">
      <c r="A36" t="s">
        <v>49</v>
      </c>
      <c r="B36" t="s">
        <v>87</v>
      </c>
      <c r="C36" t="s">
        <v>130</v>
      </c>
      <c r="D36" t="s">
        <v>167</v>
      </c>
      <c r="E36" t="s">
        <v>179</v>
      </c>
      <c r="F36" t="s">
        <v>194</v>
      </c>
      <c r="G36" t="s">
        <v>204</v>
      </c>
      <c r="H36" t="s">
        <v>215</v>
      </c>
      <c r="I36">
        <v>2</v>
      </c>
      <c r="J36">
        <v>18</v>
      </c>
      <c r="K36">
        <v>9</v>
      </c>
      <c r="L36">
        <f t="shared" si="0"/>
        <v>36</v>
      </c>
      <c r="M36">
        <f t="shared" si="1"/>
        <v>18</v>
      </c>
      <c r="N36">
        <f t="shared" si="2"/>
        <v>18</v>
      </c>
      <c r="O36">
        <f t="shared" si="3"/>
        <v>0.5</v>
      </c>
    </row>
    <row r="37" spans="1:15" x14ac:dyDescent="0.3">
      <c r="A37" t="s">
        <v>50</v>
      </c>
      <c r="B37" t="s">
        <v>88</v>
      </c>
      <c r="C37" t="s">
        <v>143</v>
      </c>
      <c r="D37" t="s">
        <v>174</v>
      </c>
      <c r="E37" t="s">
        <v>182</v>
      </c>
      <c r="F37" t="s">
        <v>195</v>
      </c>
      <c r="G37" t="s">
        <v>204</v>
      </c>
      <c r="H37" t="s">
        <v>207</v>
      </c>
      <c r="I37">
        <v>26</v>
      </c>
      <c r="J37">
        <v>41</v>
      </c>
      <c r="K37">
        <v>16</v>
      </c>
      <c r="L37">
        <f t="shared" si="0"/>
        <v>1066</v>
      </c>
      <c r="M37">
        <f t="shared" si="1"/>
        <v>416</v>
      </c>
      <c r="N37">
        <f t="shared" si="2"/>
        <v>650</v>
      </c>
      <c r="O37">
        <f t="shared" si="3"/>
        <v>0.6097560975609756</v>
      </c>
    </row>
    <row r="38" spans="1:15" x14ac:dyDescent="0.3">
      <c r="A38" t="s">
        <v>51</v>
      </c>
      <c r="B38" t="s">
        <v>89</v>
      </c>
      <c r="C38" t="s">
        <v>144</v>
      </c>
      <c r="D38" t="s">
        <v>146</v>
      </c>
      <c r="E38" t="s">
        <v>192</v>
      </c>
      <c r="F38" t="s">
        <v>196</v>
      </c>
      <c r="G38" t="s">
        <v>205</v>
      </c>
      <c r="H38" t="s">
        <v>212</v>
      </c>
      <c r="I38" t="s">
        <v>219</v>
      </c>
      <c r="J38">
        <v>55</v>
      </c>
      <c r="K38">
        <v>9</v>
      </c>
      <c r="L38" t="e">
        <f t="shared" si="0"/>
        <v>#VALUE!</v>
      </c>
      <c r="M38" t="e">
        <f t="shared" si="1"/>
        <v>#VALUE!</v>
      </c>
      <c r="N38" t="e">
        <f t="shared" si="2"/>
        <v>#VALUE!</v>
      </c>
      <c r="O38" t="e">
        <f t="shared" si="3"/>
        <v>#VALUE!</v>
      </c>
    </row>
    <row r="39" spans="1:15" x14ac:dyDescent="0.3">
      <c r="A39" t="s">
        <v>52</v>
      </c>
      <c r="B39" s="3">
        <v>46003</v>
      </c>
      <c r="C39" t="s">
        <v>145</v>
      </c>
      <c r="D39" t="s">
        <v>174</v>
      </c>
      <c r="E39" t="s">
        <v>179</v>
      </c>
      <c r="F39" t="s">
        <v>194</v>
      </c>
      <c r="G39" t="s">
        <v>204</v>
      </c>
      <c r="H39" t="s">
        <v>215</v>
      </c>
      <c r="I39">
        <v>42</v>
      </c>
      <c r="J39">
        <v>39</v>
      </c>
      <c r="K39">
        <v>16</v>
      </c>
      <c r="L39">
        <f t="shared" si="0"/>
        <v>1638</v>
      </c>
      <c r="M39">
        <f t="shared" si="1"/>
        <v>672</v>
      </c>
      <c r="N39">
        <f t="shared" si="2"/>
        <v>966</v>
      </c>
      <c r="O39">
        <f t="shared" si="3"/>
        <v>0.58974358974358976</v>
      </c>
    </row>
    <row r="40" spans="1:15" x14ac:dyDescent="0.3">
      <c r="A40" t="s">
        <v>53</v>
      </c>
      <c r="B40" t="s">
        <v>90</v>
      </c>
      <c r="C40" t="s">
        <v>131</v>
      </c>
      <c r="D40" t="s">
        <v>156</v>
      </c>
      <c r="E40" t="s">
        <v>185</v>
      </c>
      <c r="F40" t="s">
        <v>197</v>
      </c>
      <c r="G40" t="s">
        <v>204</v>
      </c>
      <c r="H40" t="s">
        <v>213</v>
      </c>
      <c r="I40">
        <v>1</v>
      </c>
      <c r="J40">
        <v>190</v>
      </c>
      <c r="K40">
        <v>40</v>
      </c>
      <c r="L40">
        <f t="shared" si="0"/>
        <v>190</v>
      </c>
      <c r="M40">
        <f t="shared" si="1"/>
        <v>40</v>
      </c>
      <c r="N40">
        <f t="shared" si="2"/>
        <v>150</v>
      </c>
      <c r="O40">
        <f t="shared" si="3"/>
        <v>0.78947368421052633</v>
      </c>
    </row>
    <row r="41" spans="1:15" x14ac:dyDescent="0.3">
      <c r="A41" t="s">
        <v>54</v>
      </c>
      <c r="B41" t="s">
        <v>91</v>
      </c>
      <c r="C41" t="s">
        <v>132</v>
      </c>
      <c r="D41" t="s">
        <v>175</v>
      </c>
      <c r="E41" t="s">
        <v>185</v>
      </c>
      <c r="F41" t="s">
        <v>198</v>
      </c>
      <c r="G41" t="s">
        <v>206</v>
      </c>
      <c r="H41" t="s">
        <v>210</v>
      </c>
      <c r="I41">
        <v>72</v>
      </c>
      <c r="J41">
        <v>90</v>
      </c>
      <c r="K41">
        <v>47</v>
      </c>
      <c r="L41">
        <f t="shared" si="0"/>
        <v>6480</v>
      </c>
      <c r="M41">
        <f t="shared" si="1"/>
        <v>3384</v>
      </c>
      <c r="N41">
        <f t="shared" si="2"/>
        <v>3096</v>
      </c>
      <c r="O41">
        <f t="shared" si="3"/>
        <v>0.4777777777777778</v>
      </c>
    </row>
    <row r="42" spans="1:15" x14ac:dyDescent="0.3">
      <c r="A42" t="s">
        <v>55</v>
      </c>
      <c r="B42" s="1">
        <v>46024</v>
      </c>
      <c r="C42" t="s">
        <v>133</v>
      </c>
      <c r="D42" t="s">
        <v>177</v>
      </c>
      <c r="E42" t="s">
        <v>183</v>
      </c>
      <c r="F42" t="s">
        <v>199</v>
      </c>
      <c r="G42" t="s">
        <v>204</v>
      </c>
      <c r="H42" t="s">
        <v>207</v>
      </c>
      <c r="I42">
        <v>1</v>
      </c>
      <c r="J42">
        <v>225</v>
      </c>
      <c r="K42">
        <v>120</v>
      </c>
      <c r="L42">
        <f t="shared" si="0"/>
        <v>225</v>
      </c>
      <c r="M42">
        <f t="shared" si="1"/>
        <v>120</v>
      </c>
      <c r="N42">
        <f t="shared" si="2"/>
        <v>105</v>
      </c>
      <c r="O42">
        <f t="shared" si="3"/>
        <v>0.46666666666666667</v>
      </c>
    </row>
    <row r="43" spans="1:15" x14ac:dyDescent="0.3">
      <c r="A43" t="s">
        <v>56</v>
      </c>
      <c r="B43" s="1">
        <v>46055</v>
      </c>
      <c r="C43" t="s">
        <v>134</v>
      </c>
      <c r="D43" t="s">
        <v>153</v>
      </c>
      <c r="E43" t="s">
        <v>183</v>
      </c>
      <c r="F43" t="s">
        <v>200</v>
      </c>
      <c r="G43" t="s">
        <v>205</v>
      </c>
      <c r="H43" t="s">
        <v>212</v>
      </c>
      <c r="I43">
        <v>1</v>
      </c>
      <c r="J43">
        <v>180</v>
      </c>
      <c r="K43">
        <v>85</v>
      </c>
      <c r="L43">
        <f t="shared" si="0"/>
        <v>180</v>
      </c>
      <c r="M43">
        <f t="shared" si="1"/>
        <v>85</v>
      </c>
      <c r="N43">
        <f t="shared" si="2"/>
        <v>95</v>
      </c>
      <c r="O43">
        <f t="shared" si="3"/>
        <v>0.52777777777777779</v>
      </c>
    </row>
    <row r="44" spans="1:15" x14ac:dyDescent="0.3">
      <c r="A44" t="s">
        <v>57</v>
      </c>
      <c r="B44" t="s">
        <v>92</v>
      </c>
      <c r="C44" t="s">
        <v>135</v>
      </c>
      <c r="D44" t="s">
        <v>178</v>
      </c>
      <c r="E44" t="s">
        <v>185</v>
      </c>
      <c r="F44" t="s">
        <v>194</v>
      </c>
      <c r="G44" t="s">
        <v>204</v>
      </c>
      <c r="H44" t="s">
        <v>207</v>
      </c>
      <c r="I44">
        <v>1</v>
      </c>
      <c r="J44">
        <v>190</v>
      </c>
      <c r="K44">
        <v>40</v>
      </c>
      <c r="L44">
        <f t="shared" si="0"/>
        <v>190</v>
      </c>
      <c r="M44">
        <f t="shared" si="1"/>
        <v>40</v>
      </c>
      <c r="N44">
        <f t="shared" si="2"/>
        <v>150</v>
      </c>
      <c r="O44">
        <f t="shared" si="3"/>
        <v>0.78947368421052633</v>
      </c>
    </row>
    <row r="45" spans="1:15" x14ac:dyDescent="0.3">
      <c r="A45" t="s">
        <v>58</v>
      </c>
      <c r="B45" t="s">
        <v>93</v>
      </c>
      <c r="C45" t="s">
        <v>136</v>
      </c>
      <c r="D45" t="s">
        <v>175</v>
      </c>
      <c r="E45" t="s">
        <v>185</v>
      </c>
      <c r="F45" t="s">
        <v>195</v>
      </c>
      <c r="G45" t="s">
        <v>204</v>
      </c>
      <c r="H45" t="s">
        <v>213</v>
      </c>
      <c r="I45">
        <v>5</v>
      </c>
      <c r="J45">
        <v>90</v>
      </c>
      <c r="K45">
        <v>25</v>
      </c>
      <c r="L45">
        <f t="shared" si="0"/>
        <v>450</v>
      </c>
      <c r="M45">
        <f t="shared" si="1"/>
        <v>125</v>
      </c>
      <c r="N45">
        <f t="shared" si="2"/>
        <v>325</v>
      </c>
      <c r="O45">
        <f t="shared" si="3"/>
        <v>0.72222222222222221</v>
      </c>
    </row>
    <row r="46" spans="1:15" x14ac:dyDescent="0.3">
      <c r="A46" t="s">
        <v>59</v>
      </c>
      <c r="B46" t="s">
        <v>94</v>
      </c>
      <c r="C46" t="s">
        <v>137</v>
      </c>
      <c r="D46" t="s">
        <v>174</v>
      </c>
      <c r="E46" t="s">
        <v>185</v>
      </c>
      <c r="F46" t="s">
        <v>201</v>
      </c>
      <c r="G46" t="s">
        <v>205</v>
      </c>
      <c r="H46" t="s">
        <v>209</v>
      </c>
      <c r="I46">
        <v>36</v>
      </c>
      <c r="J46">
        <v>41</v>
      </c>
      <c r="K46">
        <v>16</v>
      </c>
      <c r="L46">
        <f t="shared" si="0"/>
        <v>1476</v>
      </c>
      <c r="M46">
        <f t="shared" si="1"/>
        <v>576</v>
      </c>
      <c r="N46">
        <f t="shared" si="2"/>
        <v>900</v>
      </c>
      <c r="O46">
        <f t="shared" si="3"/>
        <v>0.6097560975609756</v>
      </c>
    </row>
    <row r="47" spans="1:15" x14ac:dyDescent="0.3">
      <c r="A47" t="s">
        <v>60</v>
      </c>
      <c r="B47" t="s">
        <v>95</v>
      </c>
      <c r="C47" t="s">
        <v>138</v>
      </c>
      <c r="D47" t="s">
        <v>146</v>
      </c>
      <c r="E47" t="s">
        <v>179</v>
      </c>
      <c r="F47" t="s">
        <v>202</v>
      </c>
      <c r="G47" t="s">
        <v>205</v>
      </c>
      <c r="H47" t="s">
        <v>212</v>
      </c>
      <c r="I47">
        <v>42</v>
      </c>
      <c r="J47">
        <v>55</v>
      </c>
      <c r="K47">
        <v>9</v>
      </c>
      <c r="L47">
        <f t="shared" si="0"/>
        <v>2310</v>
      </c>
      <c r="M47">
        <f t="shared" si="1"/>
        <v>378</v>
      </c>
      <c r="N47">
        <f t="shared" si="2"/>
        <v>1932</v>
      </c>
      <c r="O47">
        <f t="shared" si="3"/>
        <v>0.83636363636363631</v>
      </c>
    </row>
    <row r="48" spans="1:15" x14ac:dyDescent="0.3">
      <c r="A48" t="s">
        <v>61</v>
      </c>
      <c r="B48" t="s">
        <v>96</v>
      </c>
      <c r="C48" t="s">
        <v>139</v>
      </c>
      <c r="D48" t="s">
        <v>167</v>
      </c>
      <c r="E48" t="s">
        <v>183</v>
      </c>
      <c r="F48" t="s">
        <v>194</v>
      </c>
      <c r="G48" t="s">
        <v>204</v>
      </c>
      <c r="H48" t="s">
        <v>215</v>
      </c>
      <c r="I48">
        <v>36</v>
      </c>
      <c r="J48">
        <v>25</v>
      </c>
      <c r="K48">
        <v>9</v>
      </c>
      <c r="L48">
        <f t="shared" si="0"/>
        <v>900</v>
      </c>
      <c r="M48">
        <f t="shared" si="1"/>
        <v>324</v>
      </c>
      <c r="N48">
        <f t="shared" si="2"/>
        <v>576</v>
      </c>
      <c r="O48">
        <f t="shared" si="3"/>
        <v>0.64</v>
      </c>
    </row>
    <row r="49" spans="1:15" x14ac:dyDescent="0.3">
      <c r="A49" t="s">
        <v>62</v>
      </c>
      <c r="B49" t="s">
        <v>97</v>
      </c>
      <c r="C49" t="s">
        <v>140</v>
      </c>
      <c r="D49" t="s">
        <v>176</v>
      </c>
      <c r="E49" t="s">
        <v>183</v>
      </c>
      <c r="F49" t="s">
        <v>194</v>
      </c>
      <c r="G49" t="s">
        <v>204</v>
      </c>
      <c r="H49" t="s">
        <v>213</v>
      </c>
      <c r="I49">
        <v>10</v>
      </c>
      <c r="J49">
        <v>225</v>
      </c>
      <c r="K49">
        <v>170</v>
      </c>
      <c r="L49">
        <f t="shared" si="0"/>
        <v>2250</v>
      </c>
      <c r="M49">
        <f t="shared" si="1"/>
        <v>1700</v>
      </c>
      <c r="N49">
        <f t="shared" si="2"/>
        <v>550</v>
      </c>
      <c r="O49">
        <f t="shared" si="3"/>
        <v>0.24444444444444444</v>
      </c>
    </row>
    <row r="50" spans="1:15" x14ac:dyDescent="0.3">
      <c r="A50" t="s">
        <v>63</v>
      </c>
      <c r="B50" t="s">
        <v>98</v>
      </c>
      <c r="C50" t="s">
        <v>141</v>
      </c>
      <c r="D50" t="s">
        <v>159</v>
      </c>
      <c r="E50" t="s">
        <v>188</v>
      </c>
      <c r="F50" t="s">
        <v>196</v>
      </c>
      <c r="G50" t="s">
        <v>205</v>
      </c>
      <c r="H50" t="s">
        <v>212</v>
      </c>
      <c r="I50">
        <v>1</v>
      </c>
      <c r="J50">
        <v>330</v>
      </c>
      <c r="K50">
        <v>225</v>
      </c>
      <c r="L50">
        <f t="shared" si="0"/>
        <v>330</v>
      </c>
      <c r="M50">
        <f t="shared" si="1"/>
        <v>225</v>
      </c>
      <c r="N50">
        <f t="shared" si="2"/>
        <v>105</v>
      </c>
      <c r="O50">
        <f t="shared" si="3"/>
        <v>0.31818181818181818</v>
      </c>
    </row>
    <row r="51" spans="1:15" x14ac:dyDescent="0.3">
      <c r="A51" t="s">
        <v>64</v>
      </c>
      <c r="B51" t="s">
        <v>99</v>
      </c>
      <c r="C51" t="s">
        <v>142</v>
      </c>
      <c r="D51" t="s">
        <v>154</v>
      </c>
      <c r="E51" t="s">
        <v>179</v>
      </c>
      <c r="F51" t="s">
        <v>203</v>
      </c>
      <c r="G51" t="s">
        <v>205</v>
      </c>
      <c r="H51" t="s">
        <v>209</v>
      </c>
      <c r="I51">
        <v>6</v>
      </c>
      <c r="J51">
        <v>1450</v>
      </c>
      <c r="K51">
        <v>900</v>
      </c>
      <c r="L51">
        <f t="shared" si="0"/>
        <v>8700</v>
      </c>
      <c r="M51">
        <f t="shared" si="1"/>
        <v>5400</v>
      </c>
      <c r="N51">
        <f t="shared" si="2"/>
        <v>3300</v>
      </c>
      <c r="O51">
        <f t="shared" si="3"/>
        <v>0.37931034482758619</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E7BED-D81D-4B4A-82D4-C423B753AD7E}">
  <dimension ref="A1:AV51"/>
  <sheetViews>
    <sheetView topLeftCell="S1" zoomScale="120" zoomScaleNormal="120" workbookViewId="0">
      <selection activeCell="AI29" sqref="AI29"/>
    </sheetView>
  </sheetViews>
  <sheetFormatPr defaultRowHeight="14.4" x14ac:dyDescent="0.3"/>
  <cols>
    <col min="1" max="1" width="18.6640625" customWidth="1"/>
    <col min="2" max="3" width="34" customWidth="1"/>
    <col min="4" max="4" width="22.33203125" customWidth="1"/>
    <col min="5" max="5" width="23" customWidth="1"/>
    <col min="6" max="17" width="18.6640625" customWidth="1"/>
    <col min="18" max="19" width="18.6640625" style="6" customWidth="1"/>
    <col min="20" max="28" width="18.6640625" customWidth="1"/>
    <col min="29" max="29" width="19.5546875" customWidth="1"/>
    <col min="30" max="30" width="18.6640625" customWidth="1"/>
    <col min="32" max="32" width="18.6640625" customWidth="1"/>
    <col min="33" max="33" width="25.44140625" customWidth="1"/>
    <col min="34" max="35" width="18.21875" customWidth="1"/>
    <col min="39" max="40" width="26.5546875" customWidth="1"/>
    <col min="42" max="42" width="18.6640625" customWidth="1"/>
    <col min="43" max="43" width="16.33203125" customWidth="1"/>
    <col min="44" max="45" width="15.88671875" customWidth="1"/>
    <col min="46" max="46" width="27.5546875" customWidth="1"/>
    <col min="47" max="47" width="17.5546875" customWidth="1"/>
    <col min="48" max="48" width="18.6640625" customWidth="1"/>
  </cols>
  <sheetData>
    <row r="1" spans="1:48" s="8" customFormat="1" x14ac:dyDescent="0.3">
      <c r="A1" s="8" t="s">
        <v>1</v>
      </c>
      <c r="B1" s="8" t="s">
        <v>2</v>
      </c>
      <c r="C1" s="8" t="s">
        <v>232</v>
      </c>
      <c r="D1" s="9" t="s">
        <v>3</v>
      </c>
      <c r="E1" s="16" t="s">
        <v>244</v>
      </c>
      <c r="F1" s="9" t="s">
        <v>4</v>
      </c>
      <c r="G1" s="16" t="s">
        <v>245</v>
      </c>
      <c r="H1" s="9" t="s">
        <v>5</v>
      </c>
      <c r="I1" s="16" t="s">
        <v>258</v>
      </c>
      <c r="J1" s="9" t="s">
        <v>0</v>
      </c>
      <c r="K1" s="16" t="s">
        <v>259</v>
      </c>
      <c r="L1" s="9" t="s">
        <v>6</v>
      </c>
      <c r="M1" s="16" t="s">
        <v>261</v>
      </c>
      <c r="N1" s="9" t="s">
        <v>7</v>
      </c>
      <c r="O1" s="16" t="s">
        <v>260</v>
      </c>
      <c r="P1" s="10" t="s">
        <v>8</v>
      </c>
      <c r="Q1" s="10" t="s">
        <v>225</v>
      </c>
      <c r="R1" s="11" t="s">
        <v>9</v>
      </c>
      <c r="S1" s="11" t="s">
        <v>226</v>
      </c>
      <c r="T1" s="10" t="s">
        <v>10</v>
      </c>
      <c r="U1" s="10" t="s">
        <v>229</v>
      </c>
      <c r="V1" s="10" t="s">
        <v>11</v>
      </c>
      <c r="W1" s="10" t="s">
        <v>227</v>
      </c>
      <c r="X1" s="10" t="s">
        <v>12</v>
      </c>
      <c r="Y1" s="10" t="s">
        <v>228</v>
      </c>
      <c r="Z1" s="10" t="s">
        <v>13</v>
      </c>
      <c r="AA1" s="10" t="s">
        <v>230</v>
      </c>
      <c r="AB1" s="10" t="s">
        <v>14</v>
      </c>
      <c r="AC1" s="10" t="s">
        <v>231</v>
      </c>
      <c r="AD1" s="10"/>
      <c r="AF1" s="9" t="s">
        <v>4</v>
      </c>
      <c r="AG1" s="17" t="s">
        <v>251</v>
      </c>
      <c r="AH1" s="17" t="s">
        <v>246</v>
      </c>
      <c r="AI1" s="17" t="s">
        <v>247</v>
      </c>
      <c r="AM1" s="17" t="s">
        <v>262</v>
      </c>
      <c r="AN1" s="17" t="s">
        <v>271</v>
      </c>
      <c r="AP1" s="9" t="s">
        <v>272</v>
      </c>
      <c r="AQ1" s="9" t="s">
        <v>276</v>
      </c>
      <c r="AR1" s="8" t="s">
        <v>277</v>
      </c>
      <c r="AT1" s="8" t="s">
        <v>275</v>
      </c>
      <c r="AU1" s="8" t="s">
        <v>278</v>
      </c>
      <c r="AV1" s="9" t="s">
        <v>280</v>
      </c>
    </row>
    <row r="2" spans="1:48" x14ac:dyDescent="0.3">
      <c r="A2" t="s">
        <v>15</v>
      </c>
      <c r="B2" t="s">
        <v>65</v>
      </c>
      <c r="C2" s="2" t="s">
        <v>65</v>
      </c>
      <c r="D2" t="s">
        <v>100</v>
      </c>
      <c r="E2" t="str">
        <f>PROPER(TRIM(D2))</f>
        <v>John Smith</v>
      </c>
      <c r="F2" t="s">
        <v>146</v>
      </c>
      <c r="G2" t="str">
        <f>_xlfn.XLOOKUP(AG2,AH:AH,AI:AI,AG2)</f>
        <v>Keyboard</v>
      </c>
      <c r="H2" t="s">
        <v>179</v>
      </c>
      <c r="I2" t="str">
        <f>_xlfn.XLOOKUP(G2,$AM:$AM,$AN:$AN,"Not Found")</f>
        <v>Electronics</v>
      </c>
      <c r="J2" t="s">
        <v>194</v>
      </c>
      <c r="K2" t="str">
        <f t="shared" ref="K2:K33" si="0">_xlfn.XLOOKUP(AP2,$AQ:$AQ,$AR:$AR,"Not Found")</f>
        <v>Lebanon</v>
      </c>
      <c r="L2" t="s">
        <v>204</v>
      </c>
      <c r="M2" t="str">
        <f>_xlfn.XLOOKUP(K2,$AT:$AT,$AU:$AU,"Not Found")</f>
        <v>Middle East</v>
      </c>
      <c r="N2" t="s">
        <v>207</v>
      </c>
      <c r="O2" t="str">
        <f>PROPER(TRIM(N2))</f>
        <v>Samer Chawlah</v>
      </c>
      <c r="P2">
        <v>10</v>
      </c>
      <c r="Q2">
        <f>IF(P2=" ",0,P2)</f>
        <v>10</v>
      </c>
      <c r="R2" s="7">
        <v>25</v>
      </c>
      <c r="S2" s="6">
        <f>VALUE(SUBSTITUTE(SUBSTITUTE(TRIM(R2),"$",""),",","."))</f>
        <v>25</v>
      </c>
      <c r="T2">
        <v>9</v>
      </c>
      <c r="U2">
        <f>VALUE(SUBSTITUTE(SUBSTITUTE(TRIM(T2),"$",""),",","."))</f>
        <v>9</v>
      </c>
      <c r="V2">
        <f>P2*R2</f>
        <v>250</v>
      </c>
      <c r="W2" s="12">
        <f>Q2*S2</f>
        <v>250</v>
      </c>
      <c r="X2">
        <f>P2*T2</f>
        <v>90</v>
      </c>
      <c r="Y2" s="6">
        <f>Q2*U2</f>
        <v>90</v>
      </c>
      <c r="Z2">
        <f t="shared" ref="Z2:Z33" si="1">V2/X2</f>
        <v>2.7777777777777777</v>
      </c>
      <c r="AA2" s="12">
        <f t="shared" ref="AA2:AA33" si="2">W2/Y2</f>
        <v>2.7777777777777777</v>
      </c>
      <c r="AB2">
        <f>Z2/V2</f>
        <v>1.1111111111111112E-2</v>
      </c>
      <c r="AC2" s="13">
        <f>AA2/W2</f>
        <v>1.1111111111111112E-2</v>
      </c>
      <c r="AF2" t="s">
        <v>146</v>
      </c>
      <c r="AG2" t="str">
        <f t="shared" ref="AG2:AG33" si="3">PROPER(TRIM(AF2))</f>
        <v>Keyboard</v>
      </c>
      <c r="AH2" t="s">
        <v>248</v>
      </c>
      <c r="AI2" t="s">
        <v>250</v>
      </c>
      <c r="AM2" t="s">
        <v>159</v>
      </c>
      <c r="AN2" t="s">
        <v>188</v>
      </c>
      <c r="AP2" t="str">
        <f t="shared" ref="AP2:AP33" si="4">PROPER(TRIM(J2))</f>
        <v>Lebanon</v>
      </c>
      <c r="AQ2" t="s">
        <v>194</v>
      </c>
      <c r="AR2" t="s">
        <v>194</v>
      </c>
      <c r="AT2" t="s">
        <v>194</v>
      </c>
      <c r="AU2" t="s">
        <v>279</v>
      </c>
      <c r="AV2" t="str">
        <f>PROPER(TRIM(L2))</f>
        <v>Middle East</v>
      </c>
    </row>
    <row r="3" spans="1:48" x14ac:dyDescent="0.3">
      <c r="A3" t="s">
        <v>16</v>
      </c>
      <c r="B3" t="s">
        <v>66</v>
      </c>
      <c r="C3" s="2" t="s">
        <v>66</v>
      </c>
      <c r="D3" t="s">
        <v>101</v>
      </c>
      <c r="E3" t="str">
        <f>PROPER(TRIM(D3))</f>
        <v>Jhon Smit</v>
      </c>
      <c r="F3" t="s">
        <v>147</v>
      </c>
      <c r="G3" t="str">
        <f t="shared" ref="G3:G51" si="5">_xlfn.XLOOKUP(AG3,AH:AH,AI:AI,AG3)</f>
        <v>Headset</v>
      </c>
      <c r="H3" t="s">
        <v>180</v>
      </c>
      <c r="I3" t="str">
        <f t="shared" ref="I3:I51" si="6">_xlfn.XLOOKUP(G3,$AM:$AM,$AN:$AN,"Not Found")</f>
        <v>Electronics</v>
      </c>
      <c r="J3" t="s">
        <v>195</v>
      </c>
      <c r="K3" t="str">
        <f t="shared" si="0"/>
        <v>UAE</v>
      </c>
      <c r="L3" t="s">
        <v>204</v>
      </c>
      <c r="M3" t="str">
        <f t="shared" ref="M3:M51" si="7">_xlfn.XLOOKUP(K3,$AT:$AT,$AU:$AU,"Not Found")</f>
        <v>Middle East</v>
      </c>
      <c r="N3" t="s">
        <v>208</v>
      </c>
      <c r="O3" t="str">
        <f t="shared" ref="O3:O51" si="8">PROPER(TRIM(N3))</f>
        <v>Samer Chawlah</v>
      </c>
      <c r="P3">
        <v>5</v>
      </c>
      <c r="Q3">
        <f t="shared" ref="Q3:Q51" si="9">IF(P3=" ",0,P3)</f>
        <v>5</v>
      </c>
      <c r="R3" s="7" t="s">
        <v>220</v>
      </c>
      <c r="S3" s="6">
        <f t="shared" ref="S3:S51" si="10">VALUE(SUBSTITUTE(SUBSTITUTE(TRIM(R3),"$",""),",","."))</f>
        <v>55</v>
      </c>
      <c r="T3">
        <v>15</v>
      </c>
      <c r="U3">
        <f t="shared" ref="U3:U51" si="11">VALUE(SUBSTITUTE(SUBSTITUTE(TRIM(T3),"$",""),",","."))</f>
        <v>15</v>
      </c>
      <c r="V3" t="e">
        <f t="shared" ref="V3:V34" si="12">P3*R3</f>
        <v>#VALUE!</v>
      </c>
      <c r="W3" s="12">
        <f t="shared" ref="W3:W51" si="13">Q3*S3</f>
        <v>275</v>
      </c>
      <c r="X3">
        <f t="shared" ref="X3:X34" si="14">P3*T3</f>
        <v>75</v>
      </c>
      <c r="Y3" s="6">
        <f t="shared" ref="Y3:Y51" si="15">Q3*U3</f>
        <v>75</v>
      </c>
      <c r="Z3" t="e">
        <f t="shared" si="1"/>
        <v>#VALUE!</v>
      </c>
      <c r="AA3" s="12">
        <f t="shared" si="2"/>
        <v>3.6666666666666665</v>
      </c>
      <c r="AB3" t="e">
        <f t="shared" ref="AB3:AB51" si="16">Z3/V3</f>
        <v>#VALUE!</v>
      </c>
      <c r="AC3" s="13">
        <f t="shared" ref="AC3:AC51" si="17">AA3/W3</f>
        <v>1.3333333333333332E-2</v>
      </c>
      <c r="AF3" t="s">
        <v>147</v>
      </c>
      <c r="AG3" t="str">
        <f t="shared" si="3"/>
        <v>Headset</v>
      </c>
      <c r="AH3" t="s">
        <v>252</v>
      </c>
      <c r="AI3" t="s">
        <v>151</v>
      </c>
      <c r="AM3" t="s">
        <v>161</v>
      </c>
      <c r="AN3" t="s">
        <v>188</v>
      </c>
      <c r="AP3" t="str">
        <f t="shared" si="4"/>
        <v>Uae</v>
      </c>
      <c r="AQ3" t="s">
        <v>273</v>
      </c>
      <c r="AR3" t="s">
        <v>195</v>
      </c>
      <c r="AT3" t="s">
        <v>195</v>
      </c>
      <c r="AU3" t="s">
        <v>279</v>
      </c>
      <c r="AV3" t="str">
        <f t="shared" ref="AV3:AV51" si="18">PROPER(TRIM(L3))</f>
        <v>Middle East</v>
      </c>
    </row>
    <row r="4" spans="1:48" x14ac:dyDescent="0.3">
      <c r="A4" t="s">
        <v>17</v>
      </c>
      <c r="B4" t="s">
        <v>233</v>
      </c>
      <c r="C4" s="2" t="s">
        <v>233</v>
      </c>
      <c r="D4" t="s">
        <v>102</v>
      </c>
      <c r="E4" t="str">
        <f t="shared" ref="E4:E51" si="19">PROPER(TRIM(D4))</f>
        <v>Carol Demerjian</v>
      </c>
      <c r="F4" t="s">
        <v>148</v>
      </c>
      <c r="G4" t="str">
        <f t="shared" si="5"/>
        <v>Mouse</v>
      </c>
      <c r="H4" t="s">
        <v>179</v>
      </c>
      <c r="I4" t="str">
        <f t="shared" si="6"/>
        <v>Electronics</v>
      </c>
      <c r="J4" t="s">
        <v>196</v>
      </c>
      <c r="K4" t="str">
        <f t="shared" si="0"/>
        <v>France</v>
      </c>
      <c r="L4" t="s">
        <v>205</v>
      </c>
      <c r="M4" t="str">
        <f t="shared" si="7"/>
        <v>Europe</v>
      </c>
      <c r="N4" t="s">
        <v>209</v>
      </c>
      <c r="O4" t="str">
        <f t="shared" si="8"/>
        <v>Dimitri Ksara</v>
      </c>
      <c r="P4">
        <v>3</v>
      </c>
      <c r="Q4">
        <f t="shared" si="9"/>
        <v>3</v>
      </c>
      <c r="R4" s="7">
        <v>22</v>
      </c>
      <c r="S4" s="6">
        <f t="shared" si="10"/>
        <v>22</v>
      </c>
      <c r="T4">
        <v>9</v>
      </c>
      <c r="U4">
        <f t="shared" si="11"/>
        <v>9</v>
      </c>
      <c r="V4">
        <f t="shared" si="12"/>
        <v>66</v>
      </c>
      <c r="W4" s="12">
        <f t="shared" si="13"/>
        <v>66</v>
      </c>
      <c r="X4">
        <f t="shared" si="14"/>
        <v>27</v>
      </c>
      <c r="Y4" s="6">
        <f t="shared" si="15"/>
        <v>27</v>
      </c>
      <c r="Z4">
        <f t="shared" si="1"/>
        <v>2.4444444444444446</v>
      </c>
      <c r="AA4" s="12">
        <f t="shared" si="2"/>
        <v>2.4444444444444446</v>
      </c>
      <c r="AB4">
        <f t="shared" si="16"/>
        <v>3.7037037037037042E-2</v>
      </c>
      <c r="AC4" s="13">
        <f t="shared" si="17"/>
        <v>3.7037037037037042E-2</v>
      </c>
      <c r="AF4" t="s">
        <v>148</v>
      </c>
      <c r="AG4" t="str">
        <f t="shared" si="3"/>
        <v>Mouse</v>
      </c>
      <c r="AH4" t="s">
        <v>253</v>
      </c>
      <c r="AI4" t="s">
        <v>152</v>
      </c>
      <c r="AM4" t="s">
        <v>266</v>
      </c>
      <c r="AN4" t="s">
        <v>179</v>
      </c>
      <c r="AP4" t="str">
        <f t="shared" si="4"/>
        <v>France</v>
      </c>
      <c r="AQ4" t="s">
        <v>196</v>
      </c>
      <c r="AR4" t="s">
        <v>196</v>
      </c>
      <c r="AT4" t="s">
        <v>196</v>
      </c>
      <c r="AU4" t="s">
        <v>205</v>
      </c>
      <c r="AV4" t="str">
        <f t="shared" si="18"/>
        <v>Europe</v>
      </c>
    </row>
    <row r="5" spans="1:48" x14ac:dyDescent="0.3">
      <c r="A5" t="s">
        <v>18</v>
      </c>
      <c r="B5" t="s">
        <v>234</v>
      </c>
      <c r="C5" s="2" t="s">
        <v>234</v>
      </c>
      <c r="D5" t="s">
        <v>103</v>
      </c>
      <c r="E5" t="str">
        <f t="shared" si="19"/>
        <v>Elie Tondaro</v>
      </c>
      <c r="F5" t="s">
        <v>149</v>
      </c>
      <c r="G5" t="str">
        <f t="shared" si="5"/>
        <v>Mouse</v>
      </c>
      <c r="H5" t="s">
        <v>181</v>
      </c>
      <c r="I5" t="str">
        <f t="shared" si="6"/>
        <v>Electronics</v>
      </c>
      <c r="J5" t="s">
        <v>194</v>
      </c>
      <c r="K5" t="str">
        <f t="shared" si="0"/>
        <v>Lebanon</v>
      </c>
      <c r="L5" t="s">
        <v>204</v>
      </c>
      <c r="M5" t="str">
        <f t="shared" si="7"/>
        <v>Middle East</v>
      </c>
      <c r="N5" t="s">
        <v>207</v>
      </c>
      <c r="O5" t="str">
        <f t="shared" si="8"/>
        <v>Samer Chawlah</v>
      </c>
      <c r="P5">
        <v>5</v>
      </c>
      <c r="Q5">
        <f t="shared" si="9"/>
        <v>5</v>
      </c>
      <c r="R5" s="7">
        <v>18</v>
      </c>
      <c r="S5" s="6">
        <f t="shared" si="10"/>
        <v>18</v>
      </c>
      <c r="T5">
        <v>9</v>
      </c>
      <c r="U5">
        <f t="shared" si="11"/>
        <v>9</v>
      </c>
      <c r="V5">
        <f t="shared" si="12"/>
        <v>90</v>
      </c>
      <c r="W5" s="12">
        <f t="shared" si="13"/>
        <v>90</v>
      </c>
      <c r="X5">
        <f t="shared" si="14"/>
        <v>45</v>
      </c>
      <c r="Y5" s="6">
        <f t="shared" si="15"/>
        <v>45</v>
      </c>
      <c r="Z5">
        <f t="shared" si="1"/>
        <v>2</v>
      </c>
      <c r="AA5" s="12">
        <f t="shared" si="2"/>
        <v>2</v>
      </c>
      <c r="AB5">
        <f t="shared" si="16"/>
        <v>2.2222222222222223E-2</v>
      </c>
      <c r="AC5" s="13">
        <f t="shared" si="17"/>
        <v>2.2222222222222223E-2</v>
      </c>
      <c r="AF5" t="s">
        <v>149</v>
      </c>
      <c r="AG5" t="str">
        <f t="shared" si="3"/>
        <v>Mouse</v>
      </c>
      <c r="AH5" t="s">
        <v>254</v>
      </c>
      <c r="AI5" t="s">
        <v>157</v>
      </c>
      <c r="AM5" t="s">
        <v>166</v>
      </c>
      <c r="AN5" t="s">
        <v>190</v>
      </c>
      <c r="AP5" t="str">
        <f t="shared" si="4"/>
        <v>Lebanon</v>
      </c>
      <c r="AQ5" t="s">
        <v>274</v>
      </c>
      <c r="AR5" t="s">
        <v>274</v>
      </c>
      <c r="AT5" t="s">
        <v>274</v>
      </c>
      <c r="AU5" t="s">
        <v>206</v>
      </c>
      <c r="AV5" t="str">
        <f t="shared" si="18"/>
        <v>Middle East</v>
      </c>
    </row>
    <row r="6" spans="1:48" x14ac:dyDescent="0.3">
      <c r="A6" t="s">
        <v>19</v>
      </c>
      <c r="B6" t="s">
        <v>69</v>
      </c>
      <c r="C6" s="2" t="s">
        <v>69</v>
      </c>
      <c r="D6" t="s">
        <v>104</v>
      </c>
      <c r="E6" t="str">
        <f t="shared" si="19"/>
        <v>Fouad Koussa</v>
      </c>
      <c r="F6" t="s">
        <v>150</v>
      </c>
      <c r="G6" t="str">
        <f t="shared" si="5"/>
        <v>iPhone 17</v>
      </c>
      <c r="H6" t="s">
        <v>182</v>
      </c>
      <c r="I6" t="str">
        <f t="shared" si="6"/>
        <v>Electronics</v>
      </c>
      <c r="J6" t="s">
        <v>197</v>
      </c>
      <c r="K6" t="str">
        <f t="shared" si="0"/>
        <v>Lebanon</v>
      </c>
      <c r="L6" t="s">
        <v>204</v>
      </c>
      <c r="M6" t="str">
        <f t="shared" si="7"/>
        <v>Middle East</v>
      </c>
      <c r="N6" t="s">
        <v>207</v>
      </c>
      <c r="O6" t="str">
        <f t="shared" si="8"/>
        <v>Samer Chawlah</v>
      </c>
      <c r="P6">
        <v>-4</v>
      </c>
      <c r="Q6">
        <f t="shared" si="9"/>
        <v>-4</v>
      </c>
      <c r="R6" s="7">
        <v>1450</v>
      </c>
      <c r="S6" s="6">
        <f t="shared" si="10"/>
        <v>1450</v>
      </c>
      <c r="T6">
        <v>900</v>
      </c>
      <c r="U6">
        <f t="shared" si="11"/>
        <v>900</v>
      </c>
      <c r="V6">
        <f t="shared" si="12"/>
        <v>-5800</v>
      </c>
      <c r="W6" s="12">
        <f t="shared" si="13"/>
        <v>-5800</v>
      </c>
      <c r="X6">
        <f t="shared" si="14"/>
        <v>-3600</v>
      </c>
      <c r="Y6" s="6">
        <f t="shared" si="15"/>
        <v>-3600</v>
      </c>
      <c r="Z6">
        <f t="shared" si="1"/>
        <v>1.6111111111111112</v>
      </c>
      <c r="AA6" s="12">
        <f t="shared" si="2"/>
        <v>1.6111111111111112</v>
      </c>
      <c r="AB6">
        <f t="shared" si="16"/>
        <v>-2.7777777777777778E-4</v>
      </c>
      <c r="AC6" s="13">
        <f t="shared" si="17"/>
        <v>-2.7777777777777778E-4</v>
      </c>
      <c r="AF6" t="s">
        <v>150</v>
      </c>
      <c r="AG6" t="str">
        <f t="shared" si="3"/>
        <v>Iphone 17</v>
      </c>
      <c r="AH6" t="s">
        <v>255</v>
      </c>
      <c r="AI6" t="s">
        <v>256</v>
      </c>
      <c r="AM6" t="s">
        <v>269</v>
      </c>
      <c r="AN6" t="s">
        <v>183</v>
      </c>
      <c r="AP6" t="str">
        <f t="shared" si="4"/>
        <v>Lebanon</v>
      </c>
      <c r="AQ6" t="s">
        <v>199</v>
      </c>
      <c r="AR6" t="s">
        <v>195</v>
      </c>
      <c r="AT6" t="s">
        <v>201</v>
      </c>
      <c r="AU6" t="s">
        <v>205</v>
      </c>
      <c r="AV6" t="str">
        <f t="shared" si="18"/>
        <v>Middle East</v>
      </c>
    </row>
    <row r="7" spans="1:48" x14ac:dyDescent="0.3">
      <c r="A7" t="s">
        <v>20</v>
      </c>
      <c r="B7" t="s">
        <v>71</v>
      </c>
      <c r="C7" s="14">
        <f>DATEVALUE(MID(B7,FIND(", ",B7)+2,50))</f>
        <v>44832</v>
      </c>
      <c r="D7" t="s">
        <v>105</v>
      </c>
      <c r="E7" t="str">
        <f t="shared" si="19"/>
        <v>Rabih Trabulsi</v>
      </c>
      <c r="F7" t="s">
        <v>151</v>
      </c>
      <c r="G7" t="str">
        <f t="shared" si="5"/>
        <v>HDMI Cable</v>
      </c>
      <c r="H7" t="s">
        <v>179</v>
      </c>
      <c r="I7" t="str">
        <f t="shared" si="6"/>
        <v>Electronics</v>
      </c>
      <c r="J7" t="s">
        <v>198</v>
      </c>
      <c r="K7" t="str">
        <f t="shared" si="0"/>
        <v>Canada</v>
      </c>
      <c r="L7" t="s">
        <v>206</v>
      </c>
      <c r="M7" t="str">
        <f t="shared" si="7"/>
        <v>North America</v>
      </c>
      <c r="N7" t="s">
        <v>210</v>
      </c>
      <c r="O7" t="str">
        <f t="shared" si="8"/>
        <v>Perla Yunani</v>
      </c>
      <c r="P7">
        <v>1</v>
      </c>
      <c r="Q7">
        <f t="shared" si="9"/>
        <v>1</v>
      </c>
      <c r="R7" s="7">
        <v>9</v>
      </c>
      <c r="S7" s="6">
        <f t="shared" si="10"/>
        <v>9</v>
      </c>
      <c r="T7" t="s">
        <v>224</v>
      </c>
      <c r="U7">
        <f t="shared" si="11"/>
        <v>2</v>
      </c>
      <c r="V7">
        <f t="shared" si="12"/>
        <v>9</v>
      </c>
      <c r="W7" s="12">
        <f t="shared" si="13"/>
        <v>9</v>
      </c>
      <c r="X7" t="e">
        <f t="shared" si="14"/>
        <v>#VALUE!</v>
      </c>
      <c r="Y7" s="6">
        <f t="shared" si="15"/>
        <v>2</v>
      </c>
      <c r="Z7" t="e">
        <f t="shared" si="1"/>
        <v>#VALUE!</v>
      </c>
      <c r="AA7" s="12">
        <f t="shared" si="2"/>
        <v>4.5</v>
      </c>
      <c r="AB7" t="e">
        <f t="shared" si="16"/>
        <v>#VALUE!</v>
      </c>
      <c r="AC7" s="13">
        <f t="shared" si="17"/>
        <v>0.5</v>
      </c>
      <c r="AF7" t="s">
        <v>151</v>
      </c>
      <c r="AG7" t="str">
        <f t="shared" si="3"/>
        <v>Hdmi Cable</v>
      </c>
      <c r="AH7" t="s">
        <v>257</v>
      </c>
      <c r="AI7" t="s">
        <v>249</v>
      </c>
      <c r="AM7" t="s">
        <v>151</v>
      </c>
      <c r="AN7" t="s">
        <v>179</v>
      </c>
      <c r="AP7" t="str">
        <f t="shared" si="4"/>
        <v>Canada</v>
      </c>
      <c r="AQ7" t="s">
        <v>200</v>
      </c>
      <c r="AR7" t="s">
        <v>196</v>
      </c>
      <c r="AV7" t="str">
        <f t="shared" si="18"/>
        <v>North America</v>
      </c>
    </row>
    <row r="8" spans="1:48" x14ac:dyDescent="0.3">
      <c r="A8" t="s">
        <v>21</v>
      </c>
      <c r="B8" t="s">
        <v>70</v>
      </c>
      <c r="C8" s="2" t="s">
        <v>70</v>
      </c>
      <c r="D8" t="s">
        <v>106</v>
      </c>
      <c r="E8" t="str">
        <f t="shared" si="19"/>
        <v>Nouhade Harouch</v>
      </c>
      <c r="F8" t="s">
        <v>152</v>
      </c>
      <c r="G8" t="str">
        <f t="shared" si="5"/>
        <v>HP Laptop</v>
      </c>
      <c r="H8" t="s">
        <v>179</v>
      </c>
      <c r="I8" t="str">
        <f t="shared" si="6"/>
        <v>Electronics</v>
      </c>
      <c r="J8" t="s">
        <v>199</v>
      </c>
      <c r="K8" t="str">
        <f t="shared" si="0"/>
        <v>UAE</v>
      </c>
      <c r="L8" t="s">
        <v>204</v>
      </c>
      <c r="M8" t="str">
        <f t="shared" si="7"/>
        <v>Middle East</v>
      </c>
      <c r="N8" t="s">
        <v>207</v>
      </c>
      <c r="O8" t="str">
        <f t="shared" si="8"/>
        <v>Samer Chawlah</v>
      </c>
      <c r="P8">
        <v>2</v>
      </c>
      <c r="Q8">
        <f t="shared" si="9"/>
        <v>2</v>
      </c>
      <c r="R8" s="7">
        <v>1400</v>
      </c>
      <c r="S8" s="6">
        <f t="shared" si="10"/>
        <v>1400</v>
      </c>
      <c r="T8">
        <v>1100</v>
      </c>
      <c r="U8">
        <f t="shared" si="11"/>
        <v>1100</v>
      </c>
      <c r="V8">
        <f t="shared" si="12"/>
        <v>2800</v>
      </c>
      <c r="W8" s="12">
        <f t="shared" si="13"/>
        <v>2800</v>
      </c>
      <c r="X8">
        <f t="shared" si="14"/>
        <v>2200</v>
      </c>
      <c r="Y8" s="6">
        <f t="shared" si="15"/>
        <v>2200</v>
      </c>
      <c r="Z8">
        <f t="shared" si="1"/>
        <v>1.2727272727272727</v>
      </c>
      <c r="AA8" s="12">
        <f t="shared" si="2"/>
        <v>1.2727272727272727</v>
      </c>
      <c r="AB8">
        <f t="shared" si="16"/>
        <v>4.5454545454545455E-4</v>
      </c>
      <c r="AC8" s="13">
        <f t="shared" si="17"/>
        <v>4.5454545454545455E-4</v>
      </c>
      <c r="AF8" t="s">
        <v>152</v>
      </c>
      <c r="AG8" t="str">
        <f t="shared" si="3"/>
        <v>Hp Laptop</v>
      </c>
      <c r="AH8" t="s">
        <v>265</v>
      </c>
      <c r="AI8" t="s">
        <v>270</v>
      </c>
      <c r="AM8" t="s">
        <v>147</v>
      </c>
      <c r="AN8" t="s">
        <v>179</v>
      </c>
      <c r="AP8" t="str">
        <f t="shared" si="4"/>
        <v>U.A.E</v>
      </c>
      <c r="AQ8" t="s">
        <v>201</v>
      </c>
      <c r="AR8" t="s">
        <v>201</v>
      </c>
      <c r="AV8" t="str">
        <f t="shared" si="18"/>
        <v>Middle East</v>
      </c>
    </row>
    <row r="9" spans="1:48" x14ac:dyDescent="0.3">
      <c r="A9" t="s">
        <v>22</v>
      </c>
      <c r="B9" s="1">
        <v>44958</v>
      </c>
      <c r="C9" s="15">
        <v>44958</v>
      </c>
      <c r="D9" t="s">
        <v>107</v>
      </c>
      <c r="E9" t="str">
        <f t="shared" si="19"/>
        <v>Christine Sawaya</v>
      </c>
      <c r="F9" t="s">
        <v>153</v>
      </c>
      <c r="G9" t="str">
        <f t="shared" si="5"/>
        <v>Office Chair</v>
      </c>
      <c r="H9" t="s">
        <v>183</v>
      </c>
      <c r="I9" t="str">
        <f t="shared" si="6"/>
        <v>Furniture</v>
      </c>
      <c r="J9" t="s">
        <v>200</v>
      </c>
      <c r="K9" t="str">
        <f t="shared" si="0"/>
        <v>France</v>
      </c>
      <c r="L9" t="s">
        <v>211</v>
      </c>
      <c r="M9" t="str">
        <f t="shared" si="7"/>
        <v>Europe</v>
      </c>
      <c r="N9" t="s">
        <v>212</v>
      </c>
      <c r="O9" t="str">
        <f t="shared" si="8"/>
        <v>Xana Rikz</v>
      </c>
      <c r="P9">
        <v>1</v>
      </c>
      <c r="Q9">
        <f t="shared" si="9"/>
        <v>1</v>
      </c>
      <c r="R9" s="7">
        <v>250</v>
      </c>
      <c r="S9" s="6">
        <f t="shared" si="10"/>
        <v>250</v>
      </c>
      <c r="T9">
        <v>80</v>
      </c>
      <c r="U9">
        <f t="shared" si="11"/>
        <v>80</v>
      </c>
      <c r="V9">
        <f t="shared" si="12"/>
        <v>250</v>
      </c>
      <c r="W9" s="12">
        <f t="shared" si="13"/>
        <v>250</v>
      </c>
      <c r="X9">
        <f t="shared" si="14"/>
        <v>80</v>
      </c>
      <c r="Y9" s="6">
        <f t="shared" si="15"/>
        <v>80</v>
      </c>
      <c r="Z9">
        <f t="shared" si="1"/>
        <v>3.125</v>
      </c>
      <c r="AA9" s="12">
        <f t="shared" si="2"/>
        <v>3.125</v>
      </c>
      <c r="AB9">
        <f t="shared" si="16"/>
        <v>1.2500000000000001E-2</v>
      </c>
      <c r="AC9" s="13">
        <f t="shared" si="17"/>
        <v>1.2500000000000001E-2</v>
      </c>
      <c r="AF9" t="s">
        <v>153</v>
      </c>
      <c r="AG9" t="str">
        <f t="shared" si="3"/>
        <v>Office Chair</v>
      </c>
      <c r="AM9" t="s">
        <v>152</v>
      </c>
      <c r="AN9" t="s">
        <v>179</v>
      </c>
      <c r="AP9" t="str">
        <f t="shared" si="4"/>
        <v>Frnace</v>
      </c>
      <c r="AV9" t="str">
        <f t="shared" si="18"/>
        <v>Europe</v>
      </c>
    </row>
    <row r="10" spans="1:48" x14ac:dyDescent="0.3">
      <c r="A10" t="s">
        <v>23</v>
      </c>
      <c r="B10" s="1">
        <v>44988</v>
      </c>
      <c r="C10" s="15">
        <v>44988</v>
      </c>
      <c r="D10" t="s">
        <v>108</v>
      </c>
      <c r="E10" t="str">
        <f t="shared" si="19"/>
        <v>Jawad Ilawi</v>
      </c>
      <c r="F10" t="s">
        <v>154</v>
      </c>
      <c r="G10" t="str">
        <f t="shared" si="5"/>
        <v>iPhone 17</v>
      </c>
      <c r="H10" t="s">
        <v>184</v>
      </c>
      <c r="I10" t="str">
        <f t="shared" si="6"/>
        <v>Electronics</v>
      </c>
      <c r="J10" t="s">
        <v>194</v>
      </c>
      <c r="K10" t="str">
        <f t="shared" si="0"/>
        <v>Lebanon</v>
      </c>
      <c r="L10" t="s">
        <v>204</v>
      </c>
      <c r="M10" t="str">
        <f t="shared" si="7"/>
        <v>Middle East</v>
      </c>
      <c r="N10" t="s">
        <v>213</v>
      </c>
      <c r="O10" t="str">
        <f t="shared" si="8"/>
        <v>Fadi Karnib</v>
      </c>
      <c r="P10">
        <v>10</v>
      </c>
      <c r="Q10">
        <f t="shared" si="9"/>
        <v>10</v>
      </c>
      <c r="R10" s="7">
        <v>1550</v>
      </c>
      <c r="S10" s="6">
        <f t="shared" si="10"/>
        <v>1550</v>
      </c>
      <c r="T10">
        <v>1650</v>
      </c>
      <c r="U10">
        <f t="shared" si="11"/>
        <v>1650</v>
      </c>
      <c r="V10">
        <f t="shared" si="12"/>
        <v>15500</v>
      </c>
      <c r="W10" s="12">
        <f t="shared" si="13"/>
        <v>15500</v>
      </c>
      <c r="X10">
        <f t="shared" si="14"/>
        <v>16500</v>
      </c>
      <c r="Y10" s="6">
        <f t="shared" si="15"/>
        <v>16500</v>
      </c>
      <c r="Z10">
        <f t="shared" si="1"/>
        <v>0.93939393939393945</v>
      </c>
      <c r="AA10" s="12">
        <f t="shared" si="2"/>
        <v>0.93939393939393945</v>
      </c>
      <c r="AB10">
        <f t="shared" si="16"/>
        <v>6.0606060606060611E-5</v>
      </c>
      <c r="AC10" s="13">
        <f t="shared" si="17"/>
        <v>6.0606060606060611E-5</v>
      </c>
      <c r="AF10" t="s">
        <v>154</v>
      </c>
      <c r="AG10" t="str">
        <f t="shared" si="3"/>
        <v>Iphone 17</v>
      </c>
      <c r="AM10" t="s">
        <v>256</v>
      </c>
      <c r="AN10" t="s">
        <v>179</v>
      </c>
      <c r="AP10" t="str">
        <f t="shared" si="4"/>
        <v>Lebanon</v>
      </c>
      <c r="AV10" t="str">
        <f t="shared" si="18"/>
        <v>Middle East</v>
      </c>
    </row>
    <row r="11" spans="1:48" x14ac:dyDescent="0.3">
      <c r="A11" t="s">
        <v>24</v>
      </c>
      <c r="B11" t="s">
        <v>72</v>
      </c>
      <c r="C11" s="14">
        <f>DATEVALUE(MID(B11,FIND(", ",B11)+2,50))</f>
        <v>45005</v>
      </c>
      <c r="D11" t="s">
        <v>109</v>
      </c>
      <c r="E11" t="str">
        <f t="shared" si="19"/>
        <v>Anthony Rawah</v>
      </c>
      <c r="F11" t="s">
        <v>155</v>
      </c>
      <c r="G11" t="str">
        <f t="shared" si="5"/>
        <v>Nike Shoes</v>
      </c>
      <c r="H11" t="s">
        <v>185</v>
      </c>
      <c r="I11" t="str">
        <f t="shared" si="6"/>
        <v>Apparel</v>
      </c>
      <c r="J11" t="s">
        <v>194</v>
      </c>
      <c r="K11" t="str">
        <f t="shared" si="0"/>
        <v>Lebanon</v>
      </c>
      <c r="L11" t="s">
        <v>205</v>
      </c>
      <c r="M11" t="str">
        <f t="shared" si="7"/>
        <v>Middle East</v>
      </c>
      <c r="N11" t="s">
        <v>212</v>
      </c>
      <c r="O11" t="str">
        <f t="shared" si="8"/>
        <v>Xana Rikz</v>
      </c>
      <c r="P11">
        <v>2</v>
      </c>
      <c r="Q11">
        <f t="shared" si="9"/>
        <v>2</v>
      </c>
      <c r="R11" s="7">
        <v>105</v>
      </c>
      <c r="S11" s="6">
        <f t="shared" si="10"/>
        <v>105</v>
      </c>
      <c r="T11">
        <v>50</v>
      </c>
      <c r="U11">
        <f t="shared" si="11"/>
        <v>50</v>
      </c>
      <c r="V11">
        <f t="shared" si="12"/>
        <v>210</v>
      </c>
      <c r="W11" s="12">
        <f t="shared" si="13"/>
        <v>210</v>
      </c>
      <c r="X11">
        <f t="shared" si="14"/>
        <v>100</v>
      </c>
      <c r="Y11" s="6">
        <f t="shared" si="15"/>
        <v>100</v>
      </c>
      <c r="Z11">
        <f t="shared" si="1"/>
        <v>2.1</v>
      </c>
      <c r="AA11" s="12">
        <f t="shared" si="2"/>
        <v>2.1</v>
      </c>
      <c r="AB11">
        <f t="shared" si="16"/>
        <v>0.01</v>
      </c>
      <c r="AC11" s="13">
        <f t="shared" si="17"/>
        <v>0.01</v>
      </c>
      <c r="AF11" t="s">
        <v>155</v>
      </c>
      <c r="AG11" t="str">
        <f t="shared" si="3"/>
        <v>Nike Shoes</v>
      </c>
      <c r="AM11" t="s">
        <v>270</v>
      </c>
      <c r="AN11" t="s">
        <v>179</v>
      </c>
      <c r="AP11" t="str">
        <f t="shared" si="4"/>
        <v>Lebanon</v>
      </c>
      <c r="AV11" t="str">
        <f t="shared" si="18"/>
        <v>Europe</v>
      </c>
    </row>
    <row r="12" spans="1:48" x14ac:dyDescent="0.3">
      <c r="A12" t="s">
        <v>25</v>
      </c>
      <c r="C12" s="2"/>
      <c r="D12" t="s">
        <v>110</v>
      </c>
      <c r="E12" t="str">
        <f t="shared" si="19"/>
        <v>Jad Biso</v>
      </c>
      <c r="F12" t="s">
        <v>156</v>
      </c>
      <c r="G12" t="str">
        <f t="shared" si="5"/>
        <v>Zara Jacket</v>
      </c>
      <c r="H12">
        <v>123</v>
      </c>
      <c r="I12" t="str">
        <f t="shared" si="6"/>
        <v>Apparel</v>
      </c>
      <c r="J12" t="s">
        <v>195</v>
      </c>
      <c r="K12" t="str">
        <f t="shared" si="0"/>
        <v>UAE</v>
      </c>
      <c r="L12" t="s">
        <v>204</v>
      </c>
      <c r="M12" t="str">
        <f t="shared" si="7"/>
        <v>Middle East</v>
      </c>
      <c r="N12" t="s">
        <v>214</v>
      </c>
      <c r="O12" t="str">
        <f t="shared" si="8"/>
        <v>Joanne Salameh</v>
      </c>
      <c r="P12">
        <v>1</v>
      </c>
      <c r="Q12">
        <f t="shared" si="9"/>
        <v>1</v>
      </c>
      <c r="R12" s="7">
        <v>190</v>
      </c>
      <c r="S12" s="6">
        <f t="shared" si="10"/>
        <v>190</v>
      </c>
      <c r="T12">
        <v>40</v>
      </c>
      <c r="U12">
        <f t="shared" si="11"/>
        <v>40</v>
      </c>
      <c r="V12">
        <f t="shared" si="12"/>
        <v>190</v>
      </c>
      <c r="W12" s="12">
        <f t="shared" si="13"/>
        <v>190</v>
      </c>
      <c r="X12">
        <f t="shared" si="14"/>
        <v>40</v>
      </c>
      <c r="Y12" s="6">
        <f t="shared" si="15"/>
        <v>40</v>
      </c>
      <c r="Z12">
        <f t="shared" si="1"/>
        <v>4.75</v>
      </c>
      <c r="AA12" s="12">
        <f t="shared" si="2"/>
        <v>4.75</v>
      </c>
      <c r="AB12">
        <f t="shared" si="16"/>
        <v>2.5000000000000001E-2</v>
      </c>
      <c r="AC12" s="13">
        <f t="shared" si="17"/>
        <v>2.5000000000000001E-2</v>
      </c>
      <c r="AF12" t="s">
        <v>156</v>
      </c>
      <c r="AG12" t="str">
        <f t="shared" si="3"/>
        <v>Zara Jacket</v>
      </c>
      <c r="AM12" t="s">
        <v>250</v>
      </c>
      <c r="AN12" t="s">
        <v>179</v>
      </c>
      <c r="AP12" t="str">
        <f t="shared" si="4"/>
        <v>Uae</v>
      </c>
      <c r="AV12" t="str">
        <f t="shared" si="18"/>
        <v>Middle East</v>
      </c>
    </row>
    <row r="13" spans="1:48" x14ac:dyDescent="0.3">
      <c r="A13" t="s">
        <v>26</v>
      </c>
      <c r="C13" s="2"/>
      <c r="D13" t="s">
        <v>111</v>
      </c>
      <c r="E13" t="str">
        <f t="shared" si="19"/>
        <v>Sonia Tuni</v>
      </c>
      <c r="F13" t="s">
        <v>157</v>
      </c>
      <c r="G13" t="str">
        <f t="shared" si="5"/>
        <v>LG Smart TV</v>
      </c>
      <c r="H13" t="s">
        <v>186</v>
      </c>
      <c r="I13" t="str">
        <f t="shared" si="6"/>
        <v>Electronics</v>
      </c>
      <c r="J13" t="s">
        <v>196</v>
      </c>
      <c r="K13" t="str">
        <f t="shared" si="0"/>
        <v>France</v>
      </c>
      <c r="L13" t="s">
        <v>205</v>
      </c>
      <c r="M13" t="str">
        <f t="shared" si="7"/>
        <v>Europe</v>
      </c>
      <c r="N13" t="s">
        <v>209</v>
      </c>
      <c r="O13" t="str">
        <f t="shared" si="8"/>
        <v>Dimitri Ksara</v>
      </c>
      <c r="Q13">
        <f t="shared" si="9"/>
        <v>0</v>
      </c>
      <c r="R13" s="7" t="s">
        <v>221</v>
      </c>
      <c r="S13" s="6">
        <f t="shared" si="10"/>
        <v>450</v>
      </c>
      <c r="T13">
        <v>299</v>
      </c>
      <c r="U13">
        <f t="shared" si="11"/>
        <v>299</v>
      </c>
      <c r="V13" t="e">
        <f t="shared" si="12"/>
        <v>#VALUE!</v>
      </c>
      <c r="W13" s="12">
        <f t="shared" si="13"/>
        <v>0</v>
      </c>
      <c r="X13">
        <f t="shared" si="14"/>
        <v>0</v>
      </c>
      <c r="Y13" s="6">
        <f t="shared" si="15"/>
        <v>0</v>
      </c>
      <c r="Z13" t="e">
        <f t="shared" si="1"/>
        <v>#VALUE!</v>
      </c>
      <c r="AA13" s="12">
        <v>0</v>
      </c>
      <c r="AB13" t="e">
        <f t="shared" si="16"/>
        <v>#VALUE!</v>
      </c>
      <c r="AC13" s="13">
        <v>0</v>
      </c>
      <c r="AF13" t="s">
        <v>157</v>
      </c>
      <c r="AG13" t="str">
        <f t="shared" si="3"/>
        <v>Lg Smart Tv</v>
      </c>
      <c r="AM13" t="s">
        <v>146</v>
      </c>
      <c r="AN13" t="s">
        <v>179</v>
      </c>
      <c r="AP13" t="str">
        <f t="shared" si="4"/>
        <v>France</v>
      </c>
      <c r="AV13" t="str">
        <f t="shared" si="18"/>
        <v>Europe</v>
      </c>
    </row>
    <row r="14" spans="1:48" x14ac:dyDescent="0.3">
      <c r="A14" t="s">
        <v>27</v>
      </c>
      <c r="B14" t="s">
        <v>73</v>
      </c>
      <c r="C14" s="2" t="s">
        <v>73</v>
      </c>
      <c r="D14" t="s">
        <v>112</v>
      </c>
      <c r="E14" t="str">
        <f t="shared" si="19"/>
        <v>Fraky Buni</v>
      </c>
      <c r="F14" t="s">
        <v>158</v>
      </c>
      <c r="G14" t="str">
        <f t="shared" si="5"/>
        <v>Macbook Air</v>
      </c>
      <c r="H14" t="s">
        <v>187</v>
      </c>
      <c r="I14" t="str">
        <f t="shared" si="6"/>
        <v>Electronics</v>
      </c>
      <c r="J14" t="s">
        <v>194</v>
      </c>
      <c r="K14" t="str">
        <f t="shared" si="0"/>
        <v>Lebanon</v>
      </c>
      <c r="L14" t="s">
        <v>204</v>
      </c>
      <c r="M14" t="str">
        <f t="shared" si="7"/>
        <v>Middle East</v>
      </c>
      <c r="N14" t="s">
        <v>207</v>
      </c>
      <c r="O14" t="str">
        <f t="shared" si="8"/>
        <v>Samer Chawlah</v>
      </c>
      <c r="P14">
        <v>0</v>
      </c>
      <c r="Q14">
        <f t="shared" si="9"/>
        <v>0</v>
      </c>
      <c r="R14" s="7">
        <v>2424</v>
      </c>
      <c r="S14" s="6">
        <f t="shared" si="10"/>
        <v>2424</v>
      </c>
      <c r="T14">
        <v>1212</v>
      </c>
      <c r="U14">
        <f t="shared" si="11"/>
        <v>1212</v>
      </c>
      <c r="V14">
        <f t="shared" si="12"/>
        <v>0</v>
      </c>
      <c r="W14" s="12">
        <f t="shared" si="13"/>
        <v>0</v>
      </c>
      <c r="X14">
        <f t="shared" si="14"/>
        <v>0</v>
      </c>
      <c r="Y14" s="6">
        <f t="shared" si="15"/>
        <v>0</v>
      </c>
      <c r="Z14" t="e">
        <f t="shared" si="1"/>
        <v>#DIV/0!</v>
      </c>
      <c r="AA14" s="12">
        <v>0</v>
      </c>
      <c r="AB14" t="e">
        <f t="shared" si="16"/>
        <v>#DIV/0!</v>
      </c>
      <c r="AC14" s="13">
        <v>0</v>
      </c>
      <c r="AF14" t="s">
        <v>158</v>
      </c>
      <c r="AG14" t="str">
        <f t="shared" si="3"/>
        <v>Macbook Air</v>
      </c>
      <c r="AM14" t="s">
        <v>157</v>
      </c>
      <c r="AN14" t="s">
        <v>179</v>
      </c>
      <c r="AP14" t="str">
        <f t="shared" si="4"/>
        <v>Lebanon</v>
      </c>
      <c r="AV14" t="str">
        <f t="shared" si="18"/>
        <v>Middle East</v>
      </c>
    </row>
    <row r="15" spans="1:48" x14ac:dyDescent="0.3">
      <c r="A15" t="s">
        <v>28</v>
      </c>
      <c r="B15" t="s">
        <v>74</v>
      </c>
      <c r="C15" s="2" t="s">
        <v>74</v>
      </c>
      <c r="D15" t="s">
        <v>113</v>
      </c>
      <c r="E15" t="str">
        <f t="shared" si="19"/>
        <v>Toni Eid</v>
      </c>
      <c r="F15" t="s">
        <v>159</v>
      </c>
      <c r="G15" t="str">
        <f t="shared" si="5"/>
        <v>Air Conditioner</v>
      </c>
      <c r="H15" t="s">
        <v>188</v>
      </c>
      <c r="I15" t="str">
        <f t="shared" si="6"/>
        <v>Appliances</v>
      </c>
      <c r="J15" t="s">
        <v>197</v>
      </c>
      <c r="K15" t="str">
        <f t="shared" si="0"/>
        <v>Lebanon</v>
      </c>
      <c r="L15" t="s">
        <v>204</v>
      </c>
      <c r="M15" t="str">
        <f t="shared" si="7"/>
        <v>Middle East</v>
      </c>
      <c r="N15" t="s">
        <v>207</v>
      </c>
      <c r="O15" t="str">
        <f t="shared" si="8"/>
        <v>Samer Chawlah</v>
      </c>
      <c r="P15">
        <v>3</v>
      </c>
      <c r="Q15">
        <f t="shared" si="9"/>
        <v>3</v>
      </c>
      <c r="R15" s="7" t="s">
        <v>222</v>
      </c>
      <c r="S15" s="6">
        <f t="shared" si="10"/>
        <v>330</v>
      </c>
      <c r="T15">
        <v>225</v>
      </c>
      <c r="U15">
        <f t="shared" si="11"/>
        <v>225</v>
      </c>
      <c r="V15" t="e">
        <f t="shared" si="12"/>
        <v>#VALUE!</v>
      </c>
      <c r="W15" s="12">
        <f t="shared" si="13"/>
        <v>990</v>
      </c>
      <c r="X15">
        <f t="shared" si="14"/>
        <v>675</v>
      </c>
      <c r="Y15" s="6">
        <f t="shared" si="15"/>
        <v>675</v>
      </c>
      <c r="Z15" t="e">
        <f t="shared" si="1"/>
        <v>#VALUE!</v>
      </c>
      <c r="AA15" s="12">
        <f t="shared" si="2"/>
        <v>1.4666666666666666</v>
      </c>
      <c r="AB15" t="e">
        <f t="shared" si="16"/>
        <v>#VALUE!</v>
      </c>
      <c r="AC15" s="13">
        <f t="shared" si="17"/>
        <v>1.4814814814814814E-3</v>
      </c>
      <c r="AF15" t="s">
        <v>159</v>
      </c>
      <c r="AG15" t="str">
        <f t="shared" si="3"/>
        <v>Air Conditioner</v>
      </c>
      <c r="AM15" t="s">
        <v>263</v>
      </c>
      <c r="AN15" t="s">
        <v>179</v>
      </c>
      <c r="AP15" t="str">
        <f t="shared" si="4"/>
        <v>Lebanon</v>
      </c>
      <c r="AV15" t="str">
        <f t="shared" si="18"/>
        <v>Middle East</v>
      </c>
    </row>
    <row r="16" spans="1:48" x14ac:dyDescent="0.3">
      <c r="A16" t="s">
        <v>29</v>
      </c>
      <c r="B16" t="s">
        <v>235</v>
      </c>
      <c r="C16" s="2" t="s">
        <v>235</v>
      </c>
      <c r="D16" t="s">
        <v>114</v>
      </c>
      <c r="E16" t="str">
        <f t="shared" si="19"/>
        <v>Ella Donuawi</v>
      </c>
      <c r="F16" t="s">
        <v>160</v>
      </c>
      <c r="G16" t="str">
        <f t="shared" si="5"/>
        <v>Water Heater</v>
      </c>
      <c r="I16" t="str">
        <f t="shared" si="6"/>
        <v>Appliances</v>
      </c>
      <c r="J16" t="s">
        <v>198</v>
      </c>
      <c r="K16" t="str">
        <f t="shared" si="0"/>
        <v>Canada</v>
      </c>
      <c r="L16" t="s">
        <v>206</v>
      </c>
      <c r="M16" t="str">
        <f t="shared" si="7"/>
        <v>North America</v>
      </c>
      <c r="N16" t="s">
        <v>210</v>
      </c>
      <c r="O16" t="str">
        <f t="shared" si="8"/>
        <v>Perla Yunani</v>
      </c>
      <c r="P16">
        <v>1</v>
      </c>
      <c r="Q16">
        <f t="shared" si="9"/>
        <v>1</v>
      </c>
      <c r="R16" s="7">
        <v>140</v>
      </c>
      <c r="S16" s="6">
        <f t="shared" si="10"/>
        <v>140</v>
      </c>
      <c r="T16">
        <v>54</v>
      </c>
      <c r="U16">
        <f t="shared" si="11"/>
        <v>54</v>
      </c>
      <c r="V16">
        <f t="shared" si="12"/>
        <v>140</v>
      </c>
      <c r="W16" s="12">
        <f t="shared" si="13"/>
        <v>140</v>
      </c>
      <c r="X16">
        <f t="shared" si="14"/>
        <v>54</v>
      </c>
      <c r="Y16" s="6">
        <f t="shared" si="15"/>
        <v>54</v>
      </c>
      <c r="Z16">
        <f t="shared" si="1"/>
        <v>2.5925925925925926</v>
      </c>
      <c r="AA16" s="12">
        <f t="shared" si="2"/>
        <v>2.5925925925925926</v>
      </c>
      <c r="AB16">
        <f t="shared" si="16"/>
        <v>1.8518518518518517E-2</v>
      </c>
      <c r="AC16" s="13">
        <f t="shared" si="17"/>
        <v>1.8518518518518517E-2</v>
      </c>
      <c r="AF16" t="s">
        <v>160</v>
      </c>
      <c r="AG16" t="str">
        <f t="shared" si="3"/>
        <v>Water Heater</v>
      </c>
      <c r="AM16" t="s">
        <v>148</v>
      </c>
      <c r="AN16" t="s">
        <v>179</v>
      </c>
      <c r="AP16" t="str">
        <f t="shared" si="4"/>
        <v>Canada</v>
      </c>
      <c r="AV16" t="str">
        <f t="shared" si="18"/>
        <v>North America</v>
      </c>
    </row>
    <row r="17" spans="1:48" x14ac:dyDescent="0.3">
      <c r="A17" t="s">
        <v>30</v>
      </c>
      <c r="B17" s="2" t="s">
        <v>76</v>
      </c>
      <c r="C17" s="14">
        <f>DATEVALUE(MID(B17,FIND(", ",B17)+2,50))</f>
        <v>45597</v>
      </c>
      <c r="D17" t="s">
        <v>115</v>
      </c>
      <c r="E17" t="str">
        <f t="shared" si="19"/>
        <v>Tony Donia</v>
      </c>
      <c r="F17" t="s">
        <v>148</v>
      </c>
      <c r="G17" t="str">
        <f t="shared" si="5"/>
        <v>Mouse</v>
      </c>
      <c r="H17" t="s">
        <v>179</v>
      </c>
      <c r="I17" t="str">
        <f t="shared" si="6"/>
        <v>Electronics</v>
      </c>
      <c r="J17" t="s">
        <v>199</v>
      </c>
      <c r="K17" t="str">
        <f t="shared" si="0"/>
        <v>UAE</v>
      </c>
      <c r="L17" t="s">
        <v>204</v>
      </c>
      <c r="M17" t="str">
        <f t="shared" si="7"/>
        <v>Middle East</v>
      </c>
      <c r="N17" t="s">
        <v>207</v>
      </c>
      <c r="O17" t="str">
        <f t="shared" si="8"/>
        <v>Samer Chawlah</v>
      </c>
      <c r="P17">
        <v>8</v>
      </c>
      <c r="Q17">
        <f t="shared" si="9"/>
        <v>8</v>
      </c>
      <c r="R17" s="7">
        <v>28</v>
      </c>
      <c r="S17" s="6">
        <f t="shared" si="10"/>
        <v>28</v>
      </c>
      <c r="T17">
        <v>9</v>
      </c>
      <c r="U17">
        <f t="shared" si="11"/>
        <v>9</v>
      </c>
      <c r="V17">
        <f t="shared" si="12"/>
        <v>224</v>
      </c>
      <c r="W17" s="12">
        <f t="shared" si="13"/>
        <v>224</v>
      </c>
      <c r="X17">
        <f t="shared" si="14"/>
        <v>72</v>
      </c>
      <c r="Y17" s="6">
        <f t="shared" si="15"/>
        <v>72</v>
      </c>
      <c r="Z17">
        <f t="shared" si="1"/>
        <v>3.1111111111111112</v>
      </c>
      <c r="AA17" s="12">
        <f t="shared" si="2"/>
        <v>3.1111111111111112</v>
      </c>
      <c r="AB17">
        <f t="shared" si="16"/>
        <v>1.388888888888889E-2</v>
      </c>
      <c r="AC17" s="13">
        <f t="shared" si="17"/>
        <v>1.388888888888889E-2</v>
      </c>
      <c r="AF17" t="s">
        <v>148</v>
      </c>
      <c r="AG17" t="str">
        <f t="shared" si="3"/>
        <v>Mouse</v>
      </c>
      <c r="AM17" t="s">
        <v>155</v>
      </c>
      <c r="AN17" t="s">
        <v>185</v>
      </c>
      <c r="AP17" t="str">
        <f t="shared" si="4"/>
        <v>U.A.E</v>
      </c>
      <c r="AV17" t="str">
        <f t="shared" si="18"/>
        <v>Middle East</v>
      </c>
    </row>
    <row r="18" spans="1:48" x14ac:dyDescent="0.3">
      <c r="A18" t="s">
        <v>31</v>
      </c>
      <c r="B18" s="2" t="s">
        <v>76</v>
      </c>
      <c r="C18" s="14">
        <f>DATEVALUE(MID(B18,FIND(", ",B18)+2,50))</f>
        <v>45597</v>
      </c>
      <c r="D18" t="s">
        <v>115</v>
      </c>
      <c r="E18" t="str">
        <f t="shared" si="19"/>
        <v>Tony Donia</v>
      </c>
      <c r="F18" t="s">
        <v>161</v>
      </c>
      <c r="G18" t="str">
        <f t="shared" si="5"/>
        <v>Blender</v>
      </c>
      <c r="H18" t="s">
        <v>193</v>
      </c>
      <c r="I18" t="str">
        <f t="shared" si="6"/>
        <v>Appliances</v>
      </c>
      <c r="J18" t="s">
        <v>200</v>
      </c>
      <c r="K18" t="str">
        <f t="shared" si="0"/>
        <v>France</v>
      </c>
      <c r="L18" t="s">
        <v>205</v>
      </c>
      <c r="M18" t="str">
        <f t="shared" si="7"/>
        <v>Europe</v>
      </c>
      <c r="N18" t="s">
        <v>209</v>
      </c>
      <c r="O18" t="str">
        <f t="shared" si="8"/>
        <v>Dimitri Ksara</v>
      </c>
      <c r="P18">
        <v>1</v>
      </c>
      <c r="Q18">
        <f t="shared" si="9"/>
        <v>1</v>
      </c>
      <c r="R18" s="7">
        <v>110</v>
      </c>
      <c r="S18" s="6">
        <f t="shared" si="10"/>
        <v>110</v>
      </c>
      <c r="T18">
        <v>75</v>
      </c>
      <c r="U18">
        <f t="shared" si="11"/>
        <v>75</v>
      </c>
      <c r="V18">
        <f t="shared" si="12"/>
        <v>110</v>
      </c>
      <c r="W18" s="12">
        <f t="shared" si="13"/>
        <v>110</v>
      </c>
      <c r="X18">
        <f t="shared" si="14"/>
        <v>75</v>
      </c>
      <c r="Y18" s="6">
        <f t="shared" si="15"/>
        <v>75</v>
      </c>
      <c r="Z18">
        <f t="shared" si="1"/>
        <v>1.4666666666666666</v>
      </c>
      <c r="AA18" s="12">
        <f t="shared" si="2"/>
        <v>1.4666666666666666</v>
      </c>
      <c r="AB18">
        <f t="shared" si="16"/>
        <v>1.3333333333333332E-2</v>
      </c>
      <c r="AC18" s="13">
        <f t="shared" si="17"/>
        <v>1.3333333333333332E-2</v>
      </c>
      <c r="AF18" t="s">
        <v>161</v>
      </c>
      <c r="AG18" t="str">
        <f t="shared" si="3"/>
        <v>Blender</v>
      </c>
      <c r="AM18" t="s">
        <v>153</v>
      </c>
      <c r="AN18" t="s">
        <v>183</v>
      </c>
      <c r="AP18" t="str">
        <f t="shared" si="4"/>
        <v>Frnace</v>
      </c>
      <c r="AV18" t="str">
        <f t="shared" si="18"/>
        <v>Europe</v>
      </c>
    </row>
    <row r="19" spans="1:48" x14ac:dyDescent="0.3">
      <c r="A19" t="s">
        <v>32</v>
      </c>
      <c r="B19" s="2"/>
      <c r="C19" s="2"/>
      <c r="D19" t="s">
        <v>116</v>
      </c>
      <c r="E19" t="str">
        <f t="shared" si="19"/>
        <v>Jamil Batata</v>
      </c>
      <c r="F19" t="s">
        <v>162</v>
      </c>
      <c r="G19" t="str">
        <f t="shared" si="5"/>
        <v>Nike Shoes</v>
      </c>
      <c r="H19" t="s">
        <v>189</v>
      </c>
      <c r="I19" t="str">
        <f t="shared" si="6"/>
        <v>Apparel</v>
      </c>
      <c r="J19" t="s">
        <v>194</v>
      </c>
      <c r="K19" t="str">
        <f t="shared" si="0"/>
        <v>Lebanon</v>
      </c>
      <c r="L19" t="s">
        <v>204</v>
      </c>
      <c r="M19" t="str">
        <f t="shared" si="7"/>
        <v>Middle East</v>
      </c>
      <c r="N19" t="s">
        <v>207</v>
      </c>
      <c r="O19" t="str">
        <f t="shared" si="8"/>
        <v>Samer Chawlah</v>
      </c>
      <c r="P19">
        <v>1</v>
      </c>
      <c r="Q19">
        <f t="shared" si="9"/>
        <v>1</v>
      </c>
      <c r="R19" s="7">
        <v>122</v>
      </c>
      <c r="S19" s="6">
        <f t="shared" si="10"/>
        <v>122</v>
      </c>
      <c r="T19">
        <v>50</v>
      </c>
      <c r="U19">
        <f t="shared" si="11"/>
        <v>50</v>
      </c>
      <c r="V19">
        <f t="shared" si="12"/>
        <v>122</v>
      </c>
      <c r="W19" s="12">
        <f t="shared" si="13"/>
        <v>122</v>
      </c>
      <c r="X19">
        <f t="shared" si="14"/>
        <v>50</v>
      </c>
      <c r="Y19" s="6">
        <f t="shared" si="15"/>
        <v>50</v>
      </c>
      <c r="Z19">
        <f t="shared" si="1"/>
        <v>2.44</v>
      </c>
      <c r="AA19" s="12">
        <f t="shared" si="2"/>
        <v>2.44</v>
      </c>
      <c r="AB19">
        <f t="shared" si="16"/>
        <v>0.02</v>
      </c>
      <c r="AC19" s="13">
        <f t="shared" si="17"/>
        <v>0.02</v>
      </c>
      <c r="AF19" t="s">
        <v>162</v>
      </c>
      <c r="AG19" t="str">
        <f t="shared" si="3"/>
        <v>Nike Shoes</v>
      </c>
      <c r="AM19" t="s">
        <v>172</v>
      </c>
      <c r="AN19" t="s">
        <v>185</v>
      </c>
      <c r="AP19" t="str">
        <f t="shared" si="4"/>
        <v>Lebanon</v>
      </c>
      <c r="AV19" t="str">
        <f t="shared" si="18"/>
        <v>Middle East</v>
      </c>
    </row>
    <row r="20" spans="1:48" x14ac:dyDescent="0.3">
      <c r="A20" t="s">
        <v>33</v>
      </c>
      <c r="B20" t="s">
        <v>236</v>
      </c>
      <c r="C20" s="2" t="s">
        <v>236</v>
      </c>
      <c r="D20" t="s">
        <v>117</v>
      </c>
      <c r="E20" t="str">
        <f t="shared" si="19"/>
        <v>Elie Statham</v>
      </c>
      <c r="F20" t="s">
        <v>163</v>
      </c>
      <c r="G20" t="str">
        <f t="shared" si="5"/>
        <v>Zara Jacket</v>
      </c>
      <c r="H20" t="s">
        <v>188</v>
      </c>
      <c r="I20" t="str">
        <f t="shared" si="6"/>
        <v>Apparel</v>
      </c>
      <c r="J20" t="s">
        <v>195</v>
      </c>
      <c r="K20" t="str">
        <f t="shared" si="0"/>
        <v>UAE</v>
      </c>
      <c r="L20" t="s">
        <v>204</v>
      </c>
      <c r="M20" t="str">
        <f t="shared" si="7"/>
        <v>Middle East</v>
      </c>
      <c r="N20" t="s">
        <v>213</v>
      </c>
      <c r="O20" t="str">
        <f t="shared" si="8"/>
        <v>Fadi Karnib</v>
      </c>
      <c r="P20">
        <v>1</v>
      </c>
      <c r="Q20">
        <f t="shared" si="9"/>
        <v>1</v>
      </c>
      <c r="R20" s="7">
        <v>190</v>
      </c>
      <c r="S20" s="6">
        <f t="shared" si="10"/>
        <v>190</v>
      </c>
      <c r="T20">
        <v>40</v>
      </c>
      <c r="U20">
        <f t="shared" si="11"/>
        <v>40</v>
      </c>
      <c r="V20">
        <f t="shared" si="12"/>
        <v>190</v>
      </c>
      <c r="W20" s="12">
        <f t="shared" si="13"/>
        <v>190</v>
      </c>
      <c r="X20">
        <f t="shared" si="14"/>
        <v>40</v>
      </c>
      <c r="Y20" s="6">
        <f t="shared" si="15"/>
        <v>40</v>
      </c>
      <c r="Z20">
        <f t="shared" si="1"/>
        <v>4.75</v>
      </c>
      <c r="AA20" s="12">
        <f t="shared" si="2"/>
        <v>4.75</v>
      </c>
      <c r="AB20">
        <f t="shared" si="16"/>
        <v>2.5000000000000001E-2</v>
      </c>
      <c r="AC20" s="13">
        <f t="shared" si="17"/>
        <v>2.5000000000000001E-2</v>
      </c>
      <c r="AF20" t="s">
        <v>163</v>
      </c>
      <c r="AG20" t="str">
        <f t="shared" si="3"/>
        <v>Zara Jacket</v>
      </c>
      <c r="AM20" t="s">
        <v>268</v>
      </c>
      <c r="AN20" t="s">
        <v>185</v>
      </c>
      <c r="AP20" t="str">
        <f t="shared" si="4"/>
        <v>Uae</v>
      </c>
      <c r="AV20" t="str">
        <f t="shared" si="18"/>
        <v>Middle East</v>
      </c>
    </row>
    <row r="21" spans="1:48" x14ac:dyDescent="0.3">
      <c r="A21" t="s">
        <v>34</v>
      </c>
      <c r="B21" t="s">
        <v>78</v>
      </c>
      <c r="C21" s="2" t="s">
        <v>78</v>
      </c>
      <c r="D21" t="s">
        <v>118</v>
      </c>
      <c r="E21" t="str">
        <f t="shared" si="19"/>
        <v>Elie Koralo</v>
      </c>
      <c r="F21" t="s">
        <v>154</v>
      </c>
      <c r="G21" t="str">
        <f t="shared" si="5"/>
        <v>iPhone 17</v>
      </c>
      <c r="I21" t="str">
        <f t="shared" si="6"/>
        <v>Electronics</v>
      </c>
      <c r="J21" t="s">
        <v>201</v>
      </c>
      <c r="K21" t="str">
        <f t="shared" si="0"/>
        <v>Germany</v>
      </c>
      <c r="L21" t="s">
        <v>205</v>
      </c>
      <c r="M21" t="str">
        <f t="shared" si="7"/>
        <v>Europe</v>
      </c>
      <c r="N21" t="s">
        <v>212</v>
      </c>
      <c r="O21" t="str">
        <f t="shared" si="8"/>
        <v>Xana Rikz</v>
      </c>
      <c r="P21">
        <v>2</v>
      </c>
      <c r="Q21">
        <f t="shared" si="9"/>
        <v>2</v>
      </c>
      <c r="R21" s="7">
        <v>1450</v>
      </c>
      <c r="S21" s="6">
        <f t="shared" si="10"/>
        <v>1450</v>
      </c>
      <c r="T21">
        <v>900</v>
      </c>
      <c r="U21">
        <f t="shared" si="11"/>
        <v>900</v>
      </c>
      <c r="V21">
        <f t="shared" si="12"/>
        <v>2900</v>
      </c>
      <c r="W21" s="12">
        <f t="shared" si="13"/>
        <v>2900</v>
      </c>
      <c r="X21">
        <f t="shared" si="14"/>
        <v>1800</v>
      </c>
      <c r="Y21" s="6">
        <f t="shared" si="15"/>
        <v>1800</v>
      </c>
      <c r="Z21">
        <f t="shared" si="1"/>
        <v>1.6111111111111112</v>
      </c>
      <c r="AA21" s="12">
        <f t="shared" si="2"/>
        <v>1.6111111111111112</v>
      </c>
      <c r="AB21">
        <f t="shared" si="16"/>
        <v>5.5555555555555556E-4</v>
      </c>
      <c r="AC21" s="13">
        <f t="shared" si="17"/>
        <v>5.5555555555555556E-4</v>
      </c>
      <c r="AF21" t="s">
        <v>154</v>
      </c>
      <c r="AG21" t="str">
        <f t="shared" si="3"/>
        <v>Iphone 17</v>
      </c>
      <c r="AM21" t="s">
        <v>249</v>
      </c>
      <c r="AN21" t="s">
        <v>179</v>
      </c>
      <c r="AP21" t="str">
        <f t="shared" si="4"/>
        <v>Germany</v>
      </c>
      <c r="AV21" t="str">
        <f t="shared" si="18"/>
        <v>Europe</v>
      </c>
    </row>
    <row r="22" spans="1:48" x14ac:dyDescent="0.3">
      <c r="A22" t="s">
        <v>35</v>
      </c>
      <c r="B22" s="1">
        <v>45778</v>
      </c>
      <c r="C22" s="15">
        <v>45778</v>
      </c>
      <c r="D22" t="s">
        <v>119</v>
      </c>
      <c r="E22" t="str">
        <f t="shared" si="19"/>
        <v>Fady Ibrahim</v>
      </c>
      <c r="F22" t="s">
        <v>164</v>
      </c>
      <c r="G22" t="str">
        <f t="shared" si="5"/>
        <v>iPhone 15</v>
      </c>
      <c r="H22" t="s">
        <v>179</v>
      </c>
      <c r="I22" t="str">
        <f t="shared" si="6"/>
        <v>Electronics</v>
      </c>
      <c r="J22" t="s">
        <v>202</v>
      </c>
      <c r="K22" t="str">
        <f t="shared" si="0"/>
        <v>Germany</v>
      </c>
      <c r="L22" t="s">
        <v>205</v>
      </c>
      <c r="M22" t="str">
        <f t="shared" si="7"/>
        <v>Europe</v>
      </c>
      <c r="N22" t="s">
        <v>212</v>
      </c>
      <c r="O22" t="str">
        <f t="shared" si="8"/>
        <v>Xana Rikz</v>
      </c>
      <c r="P22">
        <v>1</v>
      </c>
      <c r="Q22">
        <f t="shared" si="9"/>
        <v>1</v>
      </c>
      <c r="R22" s="7" t="s">
        <v>223</v>
      </c>
      <c r="S22" s="6">
        <f t="shared" si="10"/>
        <v>860</v>
      </c>
      <c r="T22">
        <v>400</v>
      </c>
      <c r="U22">
        <f t="shared" si="11"/>
        <v>400</v>
      </c>
      <c r="V22" t="e">
        <f t="shared" si="12"/>
        <v>#VALUE!</v>
      </c>
      <c r="W22" s="12">
        <f t="shared" si="13"/>
        <v>860</v>
      </c>
      <c r="X22">
        <f t="shared" si="14"/>
        <v>400</v>
      </c>
      <c r="Y22" s="6">
        <f t="shared" si="15"/>
        <v>400</v>
      </c>
      <c r="Z22" t="e">
        <f t="shared" si="1"/>
        <v>#VALUE!</v>
      </c>
      <c r="AA22" s="12">
        <f t="shared" si="2"/>
        <v>2.15</v>
      </c>
      <c r="AB22" t="e">
        <f t="shared" si="16"/>
        <v>#VALUE!</v>
      </c>
      <c r="AC22" s="13">
        <f t="shared" si="17"/>
        <v>2.5000000000000001E-3</v>
      </c>
      <c r="AF22" t="s">
        <v>164</v>
      </c>
      <c r="AG22" t="str">
        <f t="shared" si="3"/>
        <v>Iphone 15</v>
      </c>
      <c r="AM22" t="s">
        <v>264</v>
      </c>
      <c r="AN22" t="s">
        <v>188</v>
      </c>
      <c r="AP22" t="str">
        <f t="shared" si="4"/>
        <v>Germany</v>
      </c>
      <c r="AV22" t="str">
        <f t="shared" si="18"/>
        <v>Europe</v>
      </c>
    </row>
    <row r="23" spans="1:48" x14ac:dyDescent="0.3">
      <c r="A23" t="s">
        <v>36</v>
      </c>
      <c r="B23" t="s">
        <v>79</v>
      </c>
      <c r="C23" s="2" t="s">
        <v>79</v>
      </c>
      <c r="D23" t="s">
        <v>120</v>
      </c>
      <c r="E23" t="str">
        <f t="shared" si="19"/>
        <v>Rita Banana</v>
      </c>
      <c r="F23" t="s">
        <v>165</v>
      </c>
      <c r="G23" t="str">
        <f t="shared" si="5"/>
        <v>iPad Pro</v>
      </c>
      <c r="H23" t="s">
        <v>179</v>
      </c>
      <c r="I23" t="str">
        <f t="shared" si="6"/>
        <v>Electronics</v>
      </c>
      <c r="J23" t="s">
        <v>194</v>
      </c>
      <c r="K23" t="str">
        <f t="shared" si="0"/>
        <v>Lebanon</v>
      </c>
      <c r="L23" t="s">
        <v>204</v>
      </c>
      <c r="M23" t="str">
        <f t="shared" si="7"/>
        <v>Middle East</v>
      </c>
      <c r="N23" t="s">
        <v>207</v>
      </c>
      <c r="O23" t="str">
        <f t="shared" si="8"/>
        <v>Samer Chawlah</v>
      </c>
      <c r="P23">
        <v>1</v>
      </c>
      <c r="Q23">
        <f t="shared" si="9"/>
        <v>1</v>
      </c>
      <c r="R23" s="7">
        <v>550</v>
      </c>
      <c r="S23" s="6">
        <f t="shared" si="10"/>
        <v>550</v>
      </c>
      <c r="T23">
        <v>221</v>
      </c>
      <c r="U23">
        <f t="shared" si="11"/>
        <v>221</v>
      </c>
      <c r="V23">
        <f t="shared" si="12"/>
        <v>550</v>
      </c>
      <c r="W23" s="12">
        <f t="shared" si="13"/>
        <v>550</v>
      </c>
      <c r="X23">
        <f t="shared" si="14"/>
        <v>221</v>
      </c>
      <c r="Y23" s="6">
        <f t="shared" si="15"/>
        <v>221</v>
      </c>
      <c r="Z23">
        <f t="shared" si="1"/>
        <v>2.4886877828054299</v>
      </c>
      <c r="AA23" s="12">
        <f t="shared" si="2"/>
        <v>2.4886877828054299</v>
      </c>
      <c r="AB23">
        <f t="shared" si="16"/>
        <v>4.5248868778280547E-3</v>
      </c>
      <c r="AC23" s="13">
        <f t="shared" si="17"/>
        <v>4.5248868778280547E-3</v>
      </c>
      <c r="AF23" t="s">
        <v>165</v>
      </c>
      <c r="AG23" t="str">
        <f t="shared" si="3"/>
        <v>Ipad Pro</v>
      </c>
      <c r="AM23" t="s">
        <v>267</v>
      </c>
      <c r="AN23" t="s">
        <v>179</v>
      </c>
      <c r="AP23" t="str">
        <f t="shared" si="4"/>
        <v>Lebanon</v>
      </c>
      <c r="AV23" t="str">
        <f t="shared" si="18"/>
        <v>Middle East</v>
      </c>
    </row>
    <row r="24" spans="1:48" x14ac:dyDescent="0.3">
      <c r="A24" t="s">
        <v>37</v>
      </c>
      <c r="B24" t="s">
        <v>80</v>
      </c>
      <c r="C24" s="2" t="s">
        <v>80</v>
      </c>
      <c r="D24" t="s">
        <v>121</v>
      </c>
      <c r="E24" t="str">
        <f t="shared" si="19"/>
        <v>Micheal Johnson</v>
      </c>
      <c r="F24" t="s">
        <v>146</v>
      </c>
      <c r="G24" t="str">
        <f t="shared" si="5"/>
        <v>Keyboard</v>
      </c>
      <c r="H24" t="s">
        <v>179</v>
      </c>
      <c r="I24" t="str">
        <f t="shared" si="6"/>
        <v>Electronics</v>
      </c>
      <c r="J24" t="s">
        <v>194</v>
      </c>
      <c r="K24" t="str">
        <f t="shared" si="0"/>
        <v>Lebanon</v>
      </c>
      <c r="L24" t="s">
        <v>204</v>
      </c>
      <c r="M24" t="str">
        <f t="shared" si="7"/>
        <v>Middle East</v>
      </c>
      <c r="N24" t="s">
        <v>213</v>
      </c>
      <c r="O24" t="str">
        <f t="shared" si="8"/>
        <v>Fadi Karnib</v>
      </c>
      <c r="P24">
        <v>14</v>
      </c>
      <c r="Q24">
        <f t="shared" si="9"/>
        <v>14</v>
      </c>
      <c r="R24" s="7">
        <v>28</v>
      </c>
      <c r="S24" s="6">
        <f t="shared" si="10"/>
        <v>28</v>
      </c>
      <c r="T24">
        <v>15</v>
      </c>
      <c r="U24">
        <f t="shared" si="11"/>
        <v>15</v>
      </c>
      <c r="V24">
        <f t="shared" si="12"/>
        <v>392</v>
      </c>
      <c r="W24" s="12">
        <f t="shared" si="13"/>
        <v>392</v>
      </c>
      <c r="X24">
        <f t="shared" si="14"/>
        <v>210</v>
      </c>
      <c r="Y24" s="6">
        <f t="shared" si="15"/>
        <v>210</v>
      </c>
      <c r="Z24">
        <f t="shared" si="1"/>
        <v>1.8666666666666667</v>
      </c>
      <c r="AA24" s="12">
        <f t="shared" si="2"/>
        <v>1.8666666666666667</v>
      </c>
      <c r="AB24">
        <f t="shared" si="16"/>
        <v>4.7619047619047623E-3</v>
      </c>
      <c r="AC24" s="13">
        <f t="shared" si="17"/>
        <v>4.7619047619047623E-3</v>
      </c>
      <c r="AF24" t="s">
        <v>146</v>
      </c>
      <c r="AG24" t="str">
        <f t="shared" si="3"/>
        <v>Keyboard</v>
      </c>
      <c r="AM24" t="s">
        <v>163</v>
      </c>
      <c r="AN24" t="s">
        <v>185</v>
      </c>
      <c r="AP24" t="str">
        <f t="shared" si="4"/>
        <v>Lebanon</v>
      </c>
      <c r="AV24" t="str">
        <f t="shared" si="18"/>
        <v>Middle East</v>
      </c>
    </row>
    <row r="25" spans="1:48" x14ac:dyDescent="0.3">
      <c r="A25" t="s">
        <v>38</v>
      </c>
      <c r="B25" t="s">
        <v>237</v>
      </c>
      <c r="C25" s="2" t="s">
        <v>237</v>
      </c>
      <c r="D25" t="s">
        <v>122</v>
      </c>
      <c r="E25" t="str">
        <f t="shared" si="19"/>
        <v>Sarah Johnson</v>
      </c>
      <c r="F25" t="s">
        <v>152</v>
      </c>
      <c r="G25" t="str">
        <f t="shared" si="5"/>
        <v>HP Laptop</v>
      </c>
      <c r="H25" t="s">
        <v>182</v>
      </c>
      <c r="I25" t="str">
        <f t="shared" si="6"/>
        <v>Electronics</v>
      </c>
      <c r="J25" t="s">
        <v>196</v>
      </c>
      <c r="K25" t="str">
        <f t="shared" si="0"/>
        <v>France</v>
      </c>
      <c r="L25" t="s">
        <v>205</v>
      </c>
      <c r="M25" t="str">
        <f t="shared" si="7"/>
        <v>Europe</v>
      </c>
      <c r="N25" t="s">
        <v>209</v>
      </c>
      <c r="O25" t="str">
        <f t="shared" si="8"/>
        <v>Dimitri Ksara</v>
      </c>
      <c r="P25">
        <v>6</v>
      </c>
      <c r="Q25">
        <f t="shared" si="9"/>
        <v>6</v>
      </c>
      <c r="R25" s="7">
        <v>1440</v>
      </c>
      <c r="S25" s="6">
        <f t="shared" si="10"/>
        <v>1440</v>
      </c>
      <c r="T25">
        <v>1100</v>
      </c>
      <c r="U25">
        <f t="shared" si="11"/>
        <v>1100</v>
      </c>
      <c r="V25">
        <f t="shared" si="12"/>
        <v>8640</v>
      </c>
      <c r="W25" s="12">
        <f t="shared" si="13"/>
        <v>8640</v>
      </c>
      <c r="X25">
        <f t="shared" si="14"/>
        <v>6600</v>
      </c>
      <c r="Y25" s="6">
        <f t="shared" si="15"/>
        <v>6600</v>
      </c>
      <c r="Z25">
        <f t="shared" si="1"/>
        <v>1.3090909090909091</v>
      </c>
      <c r="AA25" s="12">
        <f t="shared" si="2"/>
        <v>1.3090909090909091</v>
      </c>
      <c r="AB25">
        <f t="shared" si="16"/>
        <v>1.5151515151515152E-4</v>
      </c>
      <c r="AC25" s="13">
        <f t="shared" si="17"/>
        <v>1.5151515151515152E-4</v>
      </c>
      <c r="AF25" t="s">
        <v>152</v>
      </c>
      <c r="AG25" t="str">
        <f t="shared" si="3"/>
        <v>Hp Laptop</v>
      </c>
      <c r="AP25" t="str">
        <f t="shared" si="4"/>
        <v>France</v>
      </c>
      <c r="AV25" t="str">
        <f t="shared" si="18"/>
        <v>Europe</v>
      </c>
    </row>
    <row r="26" spans="1:48" x14ac:dyDescent="0.3">
      <c r="A26" t="s">
        <v>39</v>
      </c>
      <c r="B26" s="1">
        <v>45719</v>
      </c>
      <c r="C26" s="15">
        <v>45719</v>
      </c>
      <c r="D26" t="s">
        <v>123</v>
      </c>
      <c r="E26" t="str">
        <f t="shared" si="19"/>
        <v>Emily Davis</v>
      </c>
      <c r="F26" t="s">
        <v>166</v>
      </c>
      <c r="G26" t="str">
        <f t="shared" si="5"/>
        <v>Dumbells</v>
      </c>
      <c r="H26" t="s">
        <v>190</v>
      </c>
      <c r="I26" t="str">
        <f t="shared" si="6"/>
        <v>Sports</v>
      </c>
      <c r="J26" t="s">
        <v>203</v>
      </c>
      <c r="K26" t="str">
        <f t="shared" si="0"/>
        <v>France</v>
      </c>
      <c r="L26" t="s">
        <v>205</v>
      </c>
      <c r="M26" t="str">
        <f t="shared" si="7"/>
        <v>Europe</v>
      </c>
      <c r="N26" t="s">
        <v>212</v>
      </c>
      <c r="O26" t="str">
        <f t="shared" si="8"/>
        <v>Xana Rikz</v>
      </c>
      <c r="P26">
        <v>38</v>
      </c>
      <c r="Q26">
        <f t="shared" si="9"/>
        <v>38</v>
      </c>
      <c r="R26" s="7">
        <v>15</v>
      </c>
      <c r="S26" s="6">
        <f t="shared" si="10"/>
        <v>15</v>
      </c>
      <c r="T26">
        <v>7</v>
      </c>
      <c r="U26">
        <f t="shared" si="11"/>
        <v>7</v>
      </c>
      <c r="V26">
        <f t="shared" si="12"/>
        <v>570</v>
      </c>
      <c r="W26" s="12">
        <f t="shared" si="13"/>
        <v>570</v>
      </c>
      <c r="X26">
        <f t="shared" si="14"/>
        <v>266</v>
      </c>
      <c r="Y26" s="6">
        <f t="shared" si="15"/>
        <v>266</v>
      </c>
      <c r="Z26">
        <f t="shared" si="1"/>
        <v>2.1428571428571428</v>
      </c>
      <c r="AA26" s="12">
        <f t="shared" si="2"/>
        <v>2.1428571428571428</v>
      </c>
      <c r="AB26">
        <f t="shared" si="16"/>
        <v>3.7593984962406013E-3</v>
      </c>
      <c r="AC26" s="13">
        <f t="shared" si="17"/>
        <v>3.7593984962406013E-3</v>
      </c>
      <c r="AF26" t="s">
        <v>166</v>
      </c>
      <c r="AG26" t="str">
        <f t="shared" si="3"/>
        <v>Dumbells</v>
      </c>
      <c r="AP26" t="str">
        <f t="shared" si="4"/>
        <v>France</v>
      </c>
      <c r="AV26" t="str">
        <f t="shared" si="18"/>
        <v>Europe</v>
      </c>
    </row>
    <row r="27" spans="1:48" x14ac:dyDescent="0.3">
      <c r="A27" t="s">
        <v>40</v>
      </c>
      <c r="B27" s="1">
        <v>45752</v>
      </c>
      <c r="C27" s="15">
        <v>45752</v>
      </c>
      <c r="E27" t="str">
        <f t="shared" si="19"/>
        <v/>
      </c>
      <c r="F27" t="s">
        <v>167</v>
      </c>
      <c r="G27" t="str">
        <f t="shared" si="5"/>
        <v>Mouse</v>
      </c>
      <c r="H27" t="s">
        <v>179</v>
      </c>
      <c r="I27" t="str">
        <f t="shared" si="6"/>
        <v>Electronics</v>
      </c>
      <c r="J27" t="s">
        <v>194</v>
      </c>
      <c r="K27" t="str">
        <f t="shared" si="0"/>
        <v>Lebanon</v>
      </c>
      <c r="L27" t="s">
        <v>204</v>
      </c>
      <c r="M27" t="str">
        <f t="shared" si="7"/>
        <v>Middle East</v>
      </c>
      <c r="N27" t="s">
        <v>215</v>
      </c>
      <c r="O27" t="str">
        <f t="shared" si="8"/>
        <v>Rabih Nounani</v>
      </c>
      <c r="P27">
        <v>14</v>
      </c>
      <c r="Q27">
        <f t="shared" si="9"/>
        <v>14</v>
      </c>
      <c r="R27" s="7">
        <v>28</v>
      </c>
      <c r="S27" s="6">
        <f t="shared" si="10"/>
        <v>28</v>
      </c>
      <c r="T27">
        <v>9</v>
      </c>
      <c r="U27">
        <f t="shared" si="11"/>
        <v>9</v>
      </c>
      <c r="V27">
        <f t="shared" si="12"/>
        <v>392</v>
      </c>
      <c r="W27" s="12">
        <f t="shared" si="13"/>
        <v>392</v>
      </c>
      <c r="X27">
        <f t="shared" si="14"/>
        <v>126</v>
      </c>
      <c r="Y27" s="6">
        <f t="shared" si="15"/>
        <v>126</v>
      </c>
      <c r="Z27">
        <f t="shared" si="1"/>
        <v>3.1111111111111112</v>
      </c>
      <c r="AA27" s="12">
        <f t="shared" si="2"/>
        <v>3.1111111111111112</v>
      </c>
      <c r="AB27">
        <f t="shared" si="16"/>
        <v>7.9365079365079361E-3</v>
      </c>
      <c r="AC27" s="13">
        <f t="shared" si="17"/>
        <v>7.9365079365079361E-3</v>
      </c>
      <c r="AF27" t="s">
        <v>167</v>
      </c>
      <c r="AG27" t="str">
        <f t="shared" si="3"/>
        <v>Mouse</v>
      </c>
      <c r="AP27" t="str">
        <f t="shared" si="4"/>
        <v>Lebanon</v>
      </c>
      <c r="AV27" t="str">
        <f t="shared" si="18"/>
        <v>Middle East</v>
      </c>
    </row>
    <row r="28" spans="1:48" x14ac:dyDescent="0.3">
      <c r="A28" t="s">
        <v>41</v>
      </c>
      <c r="B28" t="s">
        <v>82</v>
      </c>
      <c r="C28" s="2" t="s">
        <v>82</v>
      </c>
      <c r="D28" t="s">
        <v>124</v>
      </c>
      <c r="E28" t="str">
        <f t="shared" si="19"/>
        <v>J. Smith</v>
      </c>
      <c r="F28" t="s">
        <v>168</v>
      </c>
      <c r="G28" t="str">
        <f t="shared" si="5"/>
        <v>Dell Laptop</v>
      </c>
      <c r="H28" t="s">
        <v>182</v>
      </c>
      <c r="I28" t="str">
        <f t="shared" si="6"/>
        <v>Electronics</v>
      </c>
      <c r="J28" t="s">
        <v>195</v>
      </c>
      <c r="K28" t="str">
        <f t="shared" si="0"/>
        <v>UAE</v>
      </c>
      <c r="L28" t="s">
        <v>204</v>
      </c>
      <c r="M28" t="str">
        <f t="shared" si="7"/>
        <v>Middle East</v>
      </c>
      <c r="N28" t="s">
        <v>215</v>
      </c>
      <c r="O28" t="str">
        <f t="shared" si="8"/>
        <v>Rabih Nounani</v>
      </c>
      <c r="P28">
        <v>5</v>
      </c>
      <c r="Q28">
        <f t="shared" si="9"/>
        <v>5</v>
      </c>
      <c r="R28" s="7">
        <v>1460</v>
      </c>
      <c r="S28" s="6">
        <f t="shared" si="10"/>
        <v>1460</v>
      </c>
      <c r="T28">
        <v>1100</v>
      </c>
      <c r="U28">
        <f t="shared" si="11"/>
        <v>1100</v>
      </c>
      <c r="V28">
        <f t="shared" si="12"/>
        <v>7300</v>
      </c>
      <c r="W28" s="12">
        <f t="shared" si="13"/>
        <v>7300</v>
      </c>
      <c r="X28">
        <f t="shared" si="14"/>
        <v>5500</v>
      </c>
      <c r="Y28" s="6">
        <f t="shared" si="15"/>
        <v>5500</v>
      </c>
      <c r="Z28">
        <f t="shared" si="1"/>
        <v>1.3272727272727274</v>
      </c>
      <c r="AA28" s="12">
        <f t="shared" si="2"/>
        <v>1.3272727272727274</v>
      </c>
      <c r="AB28">
        <f t="shared" si="16"/>
        <v>1.8181818181818183E-4</v>
      </c>
      <c r="AC28" s="13">
        <f t="shared" si="17"/>
        <v>1.8181818181818183E-4</v>
      </c>
      <c r="AF28" t="s">
        <v>168</v>
      </c>
      <c r="AG28" t="str">
        <f t="shared" si="3"/>
        <v>Dell Laptop</v>
      </c>
      <c r="AP28" t="str">
        <f t="shared" si="4"/>
        <v>Uae</v>
      </c>
      <c r="AV28" t="str">
        <f t="shared" si="18"/>
        <v>Middle East</v>
      </c>
    </row>
    <row r="29" spans="1:48" x14ac:dyDescent="0.3">
      <c r="A29" t="s">
        <v>42</v>
      </c>
      <c r="B29" t="s">
        <v>83</v>
      </c>
      <c r="C29" s="14">
        <f>DATEVALUE(MID(B29,FIND(", ",B29)+2,50))</f>
        <v>45824</v>
      </c>
      <c r="D29" t="s">
        <v>125</v>
      </c>
      <c r="E29" t="str">
        <f t="shared" si="19"/>
        <v>Anthony Thompson</v>
      </c>
      <c r="F29" t="s">
        <v>169</v>
      </c>
      <c r="G29" t="str">
        <f t="shared" si="5"/>
        <v>Samsung TV</v>
      </c>
      <c r="H29" t="s">
        <v>191</v>
      </c>
      <c r="I29" t="str">
        <f t="shared" si="6"/>
        <v>Electronics</v>
      </c>
      <c r="J29" t="s">
        <v>196</v>
      </c>
      <c r="K29" t="str">
        <f t="shared" si="0"/>
        <v>France</v>
      </c>
      <c r="L29" t="s">
        <v>205</v>
      </c>
      <c r="M29" t="str">
        <f t="shared" si="7"/>
        <v>Europe</v>
      </c>
      <c r="N29" t="s">
        <v>209</v>
      </c>
      <c r="O29" t="str">
        <f t="shared" si="8"/>
        <v>Dimitri Ksara</v>
      </c>
      <c r="P29">
        <v>25</v>
      </c>
      <c r="Q29">
        <f t="shared" si="9"/>
        <v>25</v>
      </c>
      <c r="R29" s="7">
        <v>-400</v>
      </c>
      <c r="S29" s="6">
        <f t="shared" si="10"/>
        <v>-400</v>
      </c>
      <c r="T29">
        <v>220</v>
      </c>
      <c r="U29">
        <f t="shared" si="11"/>
        <v>220</v>
      </c>
      <c r="V29">
        <f t="shared" si="12"/>
        <v>-10000</v>
      </c>
      <c r="W29" s="12">
        <f t="shared" si="13"/>
        <v>-10000</v>
      </c>
      <c r="X29">
        <f t="shared" si="14"/>
        <v>5500</v>
      </c>
      <c r="Y29" s="6">
        <f t="shared" si="15"/>
        <v>5500</v>
      </c>
      <c r="Z29">
        <f t="shared" si="1"/>
        <v>-1.8181818181818181</v>
      </c>
      <c r="AA29" s="12">
        <f t="shared" si="2"/>
        <v>-1.8181818181818181</v>
      </c>
      <c r="AB29">
        <f t="shared" si="16"/>
        <v>1.8181818181818181E-4</v>
      </c>
      <c r="AC29" s="13">
        <f t="shared" si="17"/>
        <v>1.8181818181818181E-4</v>
      </c>
      <c r="AF29" t="s">
        <v>169</v>
      </c>
      <c r="AG29" t="str">
        <f t="shared" si="3"/>
        <v>Samsung Tv</v>
      </c>
      <c r="AP29" t="str">
        <f t="shared" si="4"/>
        <v>France</v>
      </c>
      <c r="AV29" t="str">
        <f t="shared" si="18"/>
        <v>Europe</v>
      </c>
    </row>
    <row r="30" spans="1:48" x14ac:dyDescent="0.3">
      <c r="A30" t="s">
        <v>43</v>
      </c>
      <c r="B30" t="s">
        <v>84</v>
      </c>
      <c r="C30" s="2" t="s">
        <v>84</v>
      </c>
      <c r="D30" t="s">
        <v>139</v>
      </c>
      <c r="E30" t="str">
        <f t="shared" si="19"/>
        <v>Elie Bruno</v>
      </c>
      <c r="F30" t="s">
        <v>170</v>
      </c>
      <c r="G30" t="str">
        <f t="shared" si="5"/>
        <v>Mouse</v>
      </c>
      <c r="H30" t="s">
        <v>179</v>
      </c>
      <c r="I30" t="str">
        <f t="shared" si="6"/>
        <v>Electronics</v>
      </c>
      <c r="J30" t="s">
        <v>194</v>
      </c>
      <c r="K30" t="str">
        <f t="shared" si="0"/>
        <v>Lebanon</v>
      </c>
      <c r="L30" t="s">
        <v>204</v>
      </c>
      <c r="M30" t="str">
        <f t="shared" si="7"/>
        <v>Middle East</v>
      </c>
      <c r="N30" t="s">
        <v>207</v>
      </c>
      <c r="O30" t="str">
        <f t="shared" si="8"/>
        <v>Samer Chawlah</v>
      </c>
      <c r="P30">
        <v>10</v>
      </c>
      <c r="Q30">
        <f t="shared" si="9"/>
        <v>10</v>
      </c>
      <c r="R30" s="7">
        <v>25</v>
      </c>
      <c r="S30" s="6">
        <f t="shared" si="10"/>
        <v>25</v>
      </c>
      <c r="T30">
        <v>9</v>
      </c>
      <c r="U30">
        <f t="shared" si="11"/>
        <v>9</v>
      </c>
      <c r="V30">
        <f t="shared" si="12"/>
        <v>250</v>
      </c>
      <c r="W30" s="12">
        <f t="shared" si="13"/>
        <v>250</v>
      </c>
      <c r="X30">
        <f t="shared" si="14"/>
        <v>90</v>
      </c>
      <c r="Y30" s="6">
        <f t="shared" si="15"/>
        <v>90</v>
      </c>
      <c r="Z30">
        <f t="shared" si="1"/>
        <v>2.7777777777777777</v>
      </c>
      <c r="AA30" s="12">
        <f t="shared" si="2"/>
        <v>2.7777777777777777</v>
      </c>
      <c r="AB30">
        <f t="shared" si="16"/>
        <v>1.1111111111111112E-2</v>
      </c>
      <c r="AC30" s="13">
        <f t="shared" si="17"/>
        <v>1.1111111111111112E-2</v>
      </c>
      <c r="AF30" t="s">
        <v>170</v>
      </c>
      <c r="AG30" t="str">
        <f t="shared" si="3"/>
        <v>Mouse</v>
      </c>
      <c r="AP30" t="str">
        <f t="shared" si="4"/>
        <v>Lebanon</v>
      </c>
      <c r="AV30" t="str">
        <f t="shared" si="18"/>
        <v>Middle East</v>
      </c>
    </row>
    <row r="31" spans="1:48" x14ac:dyDescent="0.3">
      <c r="A31" t="s">
        <v>44</v>
      </c>
      <c r="B31" t="s">
        <v>84</v>
      </c>
      <c r="C31" s="2" t="s">
        <v>84</v>
      </c>
      <c r="D31" t="s">
        <v>126</v>
      </c>
      <c r="E31" t="str">
        <f t="shared" si="19"/>
        <v>Edward Lee</v>
      </c>
      <c r="F31" t="s">
        <v>171</v>
      </c>
      <c r="G31" t="str">
        <f t="shared" si="5"/>
        <v>Keyboard</v>
      </c>
      <c r="I31" t="str">
        <f t="shared" si="6"/>
        <v>Electronics</v>
      </c>
      <c r="J31" t="s">
        <v>197</v>
      </c>
      <c r="K31" t="str">
        <f t="shared" si="0"/>
        <v>Lebanon</v>
      </c>
      <c r="L31" t="s">
        <v>204</v>
      </c>
      <c r="M31" t="str">
        <f t="shared" si="7"/>
        <v>Middle East</v>
      </c>
      <c r="N31" t="s">
        <v>215</v>
      </c>
      <c r="O31" t="str">
        <f t="shared" si="8"/>
        <v>Rabih Nounani</v>
      </c>
      <c r="P31">
        <v>25</v>
      </c>
      <c r="Q31">
        <f t="shared" si="9"/>
        <v>25</v>
      </c>
      <c r="R31" s="7">
        <v>55</v>
      </c>
      <c r="S31" s="6">
        <f t="shared" si="10"/>
        <v>55</v>
      </c>
      <c r="T31">
        <v>9</v>
      </c>
      <c r="U31">
        <f t="shared" si="11"/>
        <v>9</v>
      </c>
      <c r="V31">
        <f t="shared" si="12"/>
        <v>1375</v>
      </c>
      <c r="W31" s="12">
        <f t="shared" si="13"/>
        <v>1375</v>
      </c>
      <c r="X31">
        <f t="shared" si="14"/>
        <v>225</v>
      </c>
      <c r="Y31" s="6">
        <f t="shared" si="15"/>
        <v>225</v>
      </c>
      <c r="Z31">
        <f t="shared" si="1"/>
        <v>6.1111111111111107</v>
      </c>
      <c r="AA31" s="12">
        <f t="shared" si="2"/>
        <v>6.1111111111111107</v>
      </c>
      <c r="AB31">
        <f t="shared" si="16"/>
        <v>4.4444444444444444E-3</v>
      </c>
      <c r="AC31" s="13">
        <f t="shared" si="17"/>
        <v>4.4444444444444444E-3</v>
      </c>
      <c r="AF31" t="s">
        <v>171</v>
      </c>
      <c r="AG31" t="str">
        <f t="shared" si="3"/>
        <v>Keyboard</v>
      </c>
      <c r="AP31" t="str">
        <f t="shared" si="4"/>
        <v>Lebanon</v>
      </c>
      <c r="AV31" t="str">
        <f t="shared" si="18"/>
        <v>Middle East</v>
      </c>
    </row>
    <row r="32" spans="1:48" x14ac:dyDescent="0.3">
      <c r="A32" t="s">
        <v>45</v>
      </c>
      <c r="B32" t="s">
        <v>85</v>
      </c>
      <c r="C32" s="2" t="s">
        <v>85</v>
      </c>
      <c r="D32" t="s">
        <v>127</v>
      </c>
      <c r="E32" t="str">
        <f t="shared" si="19"/>
        <v>Celio Saab</v>
      </c>
      <c r="F32" t="s">
        <v>172</v>
      </c>
      <c r="G32" t="str">
        <f t="shared" si="5"/>
        <v>Puma Hoodie</v>
      </c>
      <c r="H32" t="s">
        <v>185</v>
      </c>
      <c r="I32" t="str">
        <f t="shared" si="6"/>
        <v>Apparel</v>
      </c>
      <c r="J32" t="s">
        <v>198</v>
      </c>
      <c r="K32" t="str">
        <f t="shared" si="0"/>
        <v>Canada</v>
      </c>
      <c r="L32" t="s">
        <v>206</v>
      </c>
      <c r="M32" t="str">
        <f t="shared" si="7"/>
        <v>North America</v>
      </c>
      <c r="N32" t="s">
        <v>216</v>
      </c>
      <c r="O32" t="str">
        <f t="shared" si="8"/>
        <v>Perla Yunani</v>
      </c>
      <c r="P32">
        <v>48</v>
      </c>
      <c r="Q32">
        <f t="shared" si="9"/>
        <v>48</v>
      </c>
      <c r="R32" s="7">
        <v>65</v>
      </c>
      <c r="S32" s="6">
        <f t="shared" si="10"/>
        <v>65</v>
      </c>
      <c r="T32">
        <v>21</v>
      </c>
      <c r="U32">
        <f t="shared" si="11"/>
        <v>21</v>
      </c>
      <c r="V32">
        <f t="shared" si="12"/>
        <v>3120</v>
      </c>
      <c r="W32" s="12">
        <f t="shared" si="13"/>
        <v>3120</v>
      </c>
      <c r="X32">
        <f t="shared" si="14"/>
        <v>1008</v>
      </c>
      <c r="Y32" s="6">
        <f t="shared" si="15"/>
        <v>1008</v>
      </c>
      <c r="Z32">
        <f t="shared" si="1"/>
        <v>3.0952380952380953</v>
      </c>
      <c r="AA32" s="12">
        <f t="shared" si="2"/>
        <v>3.0952380952380953</v>
      </c>
      <c r="AB32">
        <f t="shared" si="16"/>
        <v>9.9206349206349201E-4</v>
      </c>
      <c r="AC32" s="13">
        <f t="shared" si="17"/>
        <v>9.9206349206349201E-4</v>
      </c>
      <c r="AF32" t="s">
        <v>172</v>
      </c>
      <c r="AG32" t="str">
        <f t="shared" si="3"/>
        <v>Puma Hoodie</v>
      </c>
      <c r="AP32" t="str">
        <f t="shared" si="4"/>
        <v>Canada</v>
      </c>
      <c r="AV32" t="str">
        <f t="shared" si="18"/>
        <v>North America</v>
      </c>
    </row>
    <row r="33" spans="1:48" x14ac:dyDescent="0.3">
      <c r="A33" t="s">
        <v>46</v>
      </c>
      <c r="B33" t="s">
        <v>86</v>
      </c>
      <c r="C33" s="2" t="s">
        <v>86</v>
      </c>
      <c r="D33" t="s">
        <v>128</v>
      </c>
      <c r="E33" t="str">
        <f t="shared" si="19"/>
        <v>Georges T. Eid</v>
      </c>
      <c r="F33" t="s">
        <v>159</v>
      </c>
      <c r="G33" t="str">
        <f t="shared" si="5"/>
        <v>Air Conditioner</v>
      </c>
      <c r="H33" t="s">
        <v>188</v>
      </c>
      <c r="I33" t="str">
        <f t="shared" si="6"/>
        <v>Appliances</v>
      </c>
      <c r="J33" t="s">
        <v>199</v>
      </c>
      <c r="K33" t="str">
        <f t="shared" si="0"/>
        <v>UAE</v>
      </c>
      <c r="L33" t="s">
        <v>204</v>
      </c>
      <c r="M33" t="str">
        <f t="shared" si="7"/>
        <v>Middle East</v>
      </c>
      <c r="N33" t="s">
        <v>207</v>
      </c>
      <c r="O33" t="str">
        <f t="shared" si="8"/>
        <v>Samer Chawlah</v>
      </c>
      <c r="P33">
        <v>44</v>
      </c>
      <c r="Q33">
        <f t="shared" si="9"/>
        <v>44</v>
      </c>
      <c r="R33" s="7">
        <v>330</v>
      </c>
      <c r="S33" s="6">
        <f t="shared" si="10"/>
        <v>330</v>
      </c>
      <c r="T33">
        <v>225</v>
      </c>
      <c r="U33">
        <f t="shared" si="11"/>
        <v>225</v>
      </c>
      <c r="V33">
        <f t="shared" si="12"/>
        <v>14520</v>
      </c>
      <c r="W33" s="12">
        <f t="shared" si="13"/>
        <v>14520</v>
      </c>
      <c r="X33">
        <f t="shared" si="14"/>
        <v>9900</v>
      </c>
      <c r="Y33" s="6">
        <f t="shared" si="15"/>
        <v>9900</v>
      </c>
      <c r="Z33">
        <f t="shared" si="1"/>
        <v>1.4666666666666666</v>
      </c>
      <c r="AA33" s="12">
        <f t="shared" si="2"/>
        <v>1.4666666666666666</v>
      </c>
      <c r="AB33">
        <f t="shared" si="16"/>
        <v>1.01010101010101E-4</v>
      </c>
      <c r="AC33" s="13">
        <f t="shared" si="17"/>
        <v>1.01010101010101E-4</v>
      </c>
      <c r="AF33" t="s">
        <v>159</v>
      </c>
      <c r="AG33" t="str">
        <f t="shared" si="3"/>
        <v>Air Conditioner</v>
      </c>
      <c r="AP33" t="str">
        <f t="shared" si="4"/>
        <v>U.A.E</v>
      </c>
      <c r="AV33" t="str">
        <f t="shared" si="18"/>
        <v>Middle East</v>
      </c>
    </row>
    <row r="34" spans="1:48" x14ac:dyDescent="0.3">
      <c r="A34" t="s">
        <v>47</v>
      </c>
      <c r="B34" s="3">
        <v>45725</v>
      </c>
      <c r="C34" s="15">
        <v>45725</v>
      </c>
      <c r="D34" t="s">
        <v>129</v>
      </c>
      <c r="E34" t="str">
        <f t="shared" si="19"/>
        <v>Rawad Zor</v>
      </c>
      <c r="F34" t="s">
        <v>173</v>
      </c>
      <c r="G34" t="str">
        <f t="shared" si="5"/>
        <v>Water Heater</v>
      </c>
      <c r="H34" t="s">
        <v>188</v>
      </c>
      <c r="I34" t="str">
        <f t="shared" si="6"/>
        <v>Appliances</v>
      </c>
      <c r="J34" t="s">
        <v>200</v>
      </c>
      <c r="K34" t="str">
        <f t="shared" ref="K34:K51" si="20">_xlfn.XLOOKUP(AP34,$AQ:$AQ,$AR:$AR,"Not Found")</f>
        <v>France</v>
      </c>
      <c r="L34" t="s">
        <v>205</v>
      </c>
      <c r="M34" t="str">
        <f t="shared" si="7"/>
        <v>Europe</v>
      </c>
      <c r="N34" t="s">
        <v>209</v>
      </c>
      <c r="O34" t="str">
        <f t="shared" si="8"/>
        <v>Dimitri Ksara</v>
      </c>
      <c r="P34">
        <v>70</v>
      </c>
      <c r="Q34">
        <f t="shared" si="9"/>
        <v>70</v>
      </c>
      <c r="R34" s="7">
        <v>140</v>
      </c>
      <c r="S34" s="6">
        <f t="shared" si="10"/>
        <v>140</v>
      </c>
      <c r="T34">
        <v>54</v>
      </c>
      <c r="U34">
        <f t="shared" si="11"/>
        <v>54</v>
      </c>
      <c r="V34">
        <f t="shared" si="12"/>
        <v>9800</v>
      </c>
      <c r="W34" s="12">
        <f t="shared" si="13"/>
        <v>9800</v>
      </c>
      <c r="X34">
        <f t="shared" si="14"/>
        <v>3780</v>
      </c>
      <c r="Y34" s="6">
        <f t="shared" si="15"/>
        <v>3780</v>
      </c>
      <c r="Z34">
        <f t="shared" ref="Z34:Z51" si="21">V34/X34</f>
        <v>2.5925925925925926</v>
      </c>
      <c r="AA34" s="12">
        <f t="shared" ref="AA34:AA51" si="22">W34/Y34</f>
        <v>2.5925925925925926</v>
      </c>
      <c r="AB34">
        <f t="shared" si="16"/>
        <v>2.6455026455026457E-4</v>
      </c>
      <c r="AC34" s="13">
        <f t="shared" si="17"/>
        <v>2.6455026455026457E-4</v>
      </c>
      <c r="AF34" t="s">
        <v>173</v>
      </c>
      <c r="AG34" t="str">
        <f t="shared" ref="AG34:AG51" si="23">PROPER(TRIM(AF34))</f>
        <v>Water Heater</v>
      </c>
      <c r="AP34" t="str">
        <f t="shared" ref="AP34:AP51" si="24">PROPER(TRIM(J34))</f>
        <v>Frnace</v>
      </c>
      <c r="AV34" t="str">
        <f t="shared" si="18"/>
        <v>Europe</v>
      </c>
    </row>
    <row r="35" spans="1:48" x14ac:dyDescent="0.3">
      <c r="A35" t="s">
        <v>48</v>
      </c>
      <c r="B35" s="1">
        <v>45756</v>
      </c>
      <c r="C35" s="15">
        <v>45756</v>
      </c>
      <c r="D35" t="s">
        <v>139</v>
      </c>
      <c r="E35" t="str">
        <f t="shared" si="19"/>
        <v>Elie Bruno</v>
      </c>
      <c r="F35" t="s">
        <v>165</v>
      </c>
      <c r="G35" t="str">
        <f t="shared" si="5"/>
        <v>iPad Pro</v>
      </c>
      <c r="H35" t="s">
        <v>179</v>
      </c>
      <c r="I35" t="str">
        <f t="shared" si="6"/>
        <v>Electronics</v>
      </c>
      <c r="J35" t="s">
        <v>194</v>
      </c>
      <c r="K35" t="str">
        <f t="shared" si="20"/>
        <v>Lebanon</v>
      </c>
      <c r="L35" t="s">
        <v>204</v>
      </c>
      <c r="M35" t="str">
        <f t="shared" si="7"/>
        <v>Middle East</v>
      </c>
      <c r="N35" t="s">
        <v>213</v>
      </c>
      <c r="O35" t="str">
        <f t="shared" si="8"/>
        <v>Fadi Karnib</v>
      </c>
      <c r="P35">
        <v>1</v>
      </c>
      <c r="Q35">
        <f t="shared" si="9"/>
        <v>1</v>
      </c>
      <c r="R35" s="7">
        <v>559</v>
      </c>
      <c r="S35" s="6">
        <f t="shared" si="10"/>
        <v>559</v>
      </c>
      <c r="T35">
        <v>221</v>
      </c>
      <c r="U35">
        <f t="shared" si="11"/>
        <v>221</v>
      </c>
      <c r="V35">
        <f t="shared" ref="V35:V51" si="25">P35*R35</f>
        <v>559</v>
      </c>
      <c r="W35" s="12">
        <f t="shared" si="13"/>
        <v>559</v>
      </c>
      <c r="X35">
        <f t="shared" ref="X35:X51" si="26">P35*T35</f>
        <v>221</v>
      </c>
      <c r="Y35" s="6">
        <f t="shared" si="15"/>
        <v>221</v>
      </c>
      <c r="Z35">
        <f t="shared" si="21"/>
        <v>2.5294117647058822</v>
      </c>
      <c r="AA35" s="12">
        <f t="shared" si="22"/>
        <v>2.5294117647058822</v>
      </c>
      <c r="AB35">
        <f t="shared" si="16"/>
        <v>4.5248868778280538E-3</v>
      </c>
      <c r="AC35" s="13">
        <f t="shared" si="17"/>
        <v>4.5248868778280538E-3</v>
      </c>
      <c r="AF35" t="s">
        <v>165</v>
      </c>
      <c r="AG35" t="str">
        <f t="shared" si="23"/>
        <v>Ipad Pro</v>
      </c>
      <c r="AP35" t="str">
        <f t="shared" si="24"/>
        <v>Lebanon</v>
      </c>
      <c r="AV35" t="str">
        <f t="shared" si="18"/>
        <v>Middle East</v>
      </c>
    </row>
    <row r="36" spans="1:48" x14ac:dyDescent="0.3">
      <c r="A36" t="s">
        <v>49</v>
      </c>
      <c r="B36" t="s">
        <v>87</v>
      </c>
      <c r="C36" s="2" t="s">
        <v>87</v>
      </c>
      <c r="D36" t="s">
        <v>130</v>
      </c>
      <c r="E36" t="str">
        <f t="shared" si="19"/>
        <v>Angela Farghus</v>
      </c>
      <c r="F36" t="s">
        <v>167</v>
      </c>
      <c r="G36" t="str">
        <f t="shared" si="5"/>
        <v>Mouse</v>
      </c>
      <c r="H36" t="s">
        <v>179</v>
      </c>
      <c r="I36" t="str">
        <f t="shared" si="6"/>
        <v>Electronics</v>
      </c>
      <c r="J36" t="s">
        <v>194</v>
      </c>
      <c r="K36" t="str">
        <f t="shared" si="20"/>
        <v>Lebanon</v>
      </c>
      <c r="L36" t="s">
        <v>204</v>
      </c>
      <c r="M36" t="str">
        <f t="shared" si="7"/>
        <v>Middle East</v>
      </c>
      <c r="N36" t="s">
        <v>215</v>
      </c>
      <c r="O36" t="str">
        <f t="shared" si="8"/>
        <v>Rabih Nounani</v>
      </c>
      <c r="P36">
        <v>2</v>
      </c>
      <c r="Q36">
        <f t="shared" si="9"/>
        <v>2</v>
      </c>
      <c r="R36" s="7">
        <v>18</v>
      </c>
      <c r="S36" s="6">
        <f t="shared" si="10"/>
        <v>18</v>
      </c>
      <c r="T36">
        <v>9</v>
      </c>
      <c r="U36">
        <f t="shared" si="11"/>
        <v>9</v>
      </c>
      <c r="V36">
        <f t="shared" si="25"/>
        <v>36</v>
      </c>
      <c r="W36" s="12">
        <f t="shared" si="13"/>
        <v>36</v>
      </c>
      <c r="X36">
        <f t="shared" si="26"/>
        <v>18</v>
      </c>
      <c r="Y36" s="6">
        <f t="shared" si="15"/>
        <v>18</v>
      </c>
      <c r="Z36">
        <f t="shared" si="21"/>
        <v>2</v>
      </c>
      <c r="AA36" s="12">
        <f t="shared" si="22"/>
        <v>2</v>
      </c>
      <c r="AB36">
        <f t="shared" si="16"/>
        <v>5.5555555555555552E-2</v>
      </c>
      <c r="AC36" s="13">
        <f t="shared" si="17"/>
        <v>5.5555555555555552E-2</v>
      </c>
      <c r="AF36" t="s">
        <v>167</v>
      </c>
      <c r="AG36" t="str">
        <f t="shared" si="23"/>
        <v>Mouse</v>
      </c>
      <c r="AP36" t="str">
        <f t="shared" si="24"/>
        <v>Lebanon</v>
      </c>
      <c r="AV36" t="str">
        <f t="shared" si="18"/>
        <v>Middle East</v>
      </c>
    </row>
    <row r="37" spans="1:48" x14ac:dyDescent="0.3">
      <c r="A37" t="s">
        <v>50</v>
      </c>
      <c r="B37" t="s">
        <v>88</v>
      </c>
      <c r="C37" s="2" t="s">
        <v>88</v>
      </c>
      <c r="D37" t="s">
        <v>143</v>
      </c>
      <c r="E37" t="str">
        <f t="shared" si="19"/>
        <v>Mark Garcia</v>
      </c>
      <c r="F37" t="s">
        <v>174</v>
      </c>
      <c r="G37" t="str">
        <f t="shared" si="5"/>
        <v>Wireless Mouse</v>
      </c>
      <c r="H37" t="s">
        <v>182</v>
      </c>
      <c r="I37" t="str">
        <f t="shared" si="6"/>
        <v>Electronics</v>
      </c>
      <c r="J37" t="s">
        <v>195</v>
      </c>
      <c r="K37" t="str">
        <f t="shared" si="20"/>
        <v>UAE</v>
      </c>
      <c r="L37" t="s">
        <v>204</v>
      </c>
      <c r="M37" t="str">
        <f t="shared" si="7"/>
        <v>Middle East</v>
      </c>
      <c r="N37" t="s">
        <v>207</v>
      </c>
      <c r="O37" t="str">
        <f t="shared" si="8"/>
        <v>Samer Chawlah</v>
      </c>
      <c r="P37">
        <v>26</v>
      </c>
      <c r="Q37">
        <f t="shared" si="9"/>
        <v>26</v>
      </c>
      <c r="R37" s="7">
        <v>41</v>
      </c>
      <c r="S37" s="6">
        <f t="shared" si="10"/>
        <v>41</v>
      </c>
      <c r="T37">
        <v>16</v>
      </c>
      <c r="U37">
        <f t="shared" si="11"/>
        <v>16</v>
      </c>
      <c r="V37">
        <f t="shared" si="25"/>
        <v>1066</v>
      </c>
      <c r="W37" s="12">
        <f t="shared" si="13"/>
        <v>1066</v>
      </c>
      <c r="X37">
        <f t="shared" si="26"/>
        <v>416</v>
      </c>
      <c r="Y37" s="6">
        <f t="shared" si="15"/>
        <v>416</v>
      </c>
      <c r="Z37">
        <f t="shared" si="21"/>
        <v>2.5625</v>
      </c>
      <c r="AA37" s="12">
        <f t="shared" si="22"/>
        <v>2.5625</v>
      </c>
      <c r="AB37">
        <f t="shared" si="16"/>
        <v>2.403846153846154E-3</v>
      </c>
      <c r="AC37" s="13">
        <f t="shared" si="17"/>
        <v>2.403846153846154E-3</v>
      </c>
      <c r="AF37" t="s">
        <v>174</v>
      </c>
      <c r="AG37" t="str">
        <f t="shared" si="23"/>
        <v>Wireless Mouse</v>
      </c>
      <c r="AP37" t="str">
        <f t="shared" si="24"/>
        <v>Uae</v>
      </c>
      <c r="AV37" t="str">
        <f t="shared" si="18"/>
        <v>Middle East</v>
      </c>
    </row>
    <row r="38" spans="1:48" x14ac:dyDescent="0.3">
      <c r="A38" t="s">
        <v>51</v>
      </c>
      <c r="B38" t="s">
        <v>89</v>
      </c>
      <c r="C38" s="2" t="s">
        <v>89</v>
      </c>
      <c r="D38" t="s">
        <v>144</v>
      </c>
      <c r="E38" t="str">
        <f t="shared" si="19"/>
        <v>Brian Rodriguez</v>
      </c>
      <c r="F38" t="s">
        <v>146</v>
      </c>
      <c r="G38" t="str">
        <f t="shared" si="5"/>
        <v>Keyboard</v>
      </c>
      <c r="H38" t="s">
        <v>192</v>
      </c>
      <c r="I38" t="str">
        <f t="shared" si="6"/>
        <v>Electronics</v>
      </c>
      <c r="J38" t="s">
        <v>196</v>
      </c>
      <c r="K38" t="str">
        <f t="shared" si="20"/>
        <v>France</v>
      </c>
      <c r="L38" t="s">
        <v>205</v>
      </c>
      <c r="M38" t="str">
        <f t="shared" si="7"/>
        <v>Europe</v>
      </c>
      <c r="N38" t="s">
        <v>212</v>
      </c>
      <c r="O38" t="str">
        <f t="shared" si="8"/>
        <v>Xana Rikz</v>
      </c>
      <c r="P38">
        <v>10</v>
      </c>
      <c r="Q38">
        <f t="shared" si="9"/>
        <v>10</v>
      </c>
      <c r="R38" s="7">
        <v>55</v>
      </c>
      <c r="S38" s="6">
        <f t="shared" si="10"/>
        <v>55</v>
      </c>
      <c r="T38">
        <v>9</v>
      </c>
      <c r="U38">
        <f t="shared" si="11"/>
        <v>9</v>
      </c>
      <c r="V38">
        <f t="shared" si="25"/>
        <v>550</v>
      </c>
      <c r="W38" s="12">
        <f t="shared" si="13"/>
        <v>550</v>
      </c>
      <c r="X38">
        <f t="shared" si="26"/>
        <v>90</v>
      </c>
      <c r="Y38" s="6">
        <f t="shared" si="15"/>
        <v>90</v>
      </c>
      <c r="Z38">
        <f t="shared" si="21"/>
        <v>6.1111111111111107</v>
      </c>
      <c r="AA38" s="12">
        <f t="shared" si="22"/>
        <v>6.1111111111111107</v>
      </c>
      <c r="AB38">
        <f t="shared" si="16"/>
        <v>1.111111111111111E-2</v>
      </c>
      <c r="AC38" s="13">
        <f t="shared" si="17"/>
        <v>1.111111111111111E-2</v>
      </c>
      <c r="AF38" t="s">
        <v>146</v>
      </c>
      <c r="AG38" t="str">
        <f t="shared" si="23"/>
        <v>Keyboard</v>
      </c>
      <c r="AP38" t="str">
        <f t="shared" si="24"/>
        <v>France</v>
      </c>
      <c r="AV38" t="str">
        <f t="shared" si="18"/>
        <v>Europe</v>
      </c>
    </row>
    <row r="39" spans="1:48" x14ac:dyDescent="0.3">
      <c r="A39" t="s">
        <v>52</v>
      </c>
      <c r="B39" s="3">
        <v>46003</v>
      </c>
      <c r="C39" s="15">
        <v>46003</v>
      </c>
      <c r="D39" t="s">
        <v>145</v>
      </c>
      <c r="E39" t="str">
        <f t="shared" si="19"/>
        <v>Georges Lewis</v>
      </c>
      <c r="F39" t="s">
        <v>174</v>
      </c>
      <c r="G39" t="str">
        <f t="shared" si="5"/>
        <v>Wireless Mouse</v>
      </c>
      <c r="H39" t="s">
        <v>179</v>
      </c>
      <c r="I39" t="str">
        <f t="shared" si="6"/>
        <v>Electronics</v>
      </c>
      <c r="J39" t="s">
        <v>194</v>
      </c>
      <c r="K39" t="str">
        <f t="shared" si="20"/>
        <v>Lebanon</v>
      </c>
      <c r="L39" t="s">
        <v>204</v>
      </c>
      <c r="M39" t="str">
        <f t="shared" si="7"/>
        <v>Middle East</v>
      </c>
      <c r="N39" t="s">
        <v>215</v>
      </c>
      <c r="O39" t="str">
        <f t="shared" si="8"/>
        <v>Rabih Nounani</v>
      </c>
      <c r="P39">
        <v>42</v>
      </c>
      <c r="Q39">
        <f t="shared" si="9"/>
        <v>42</v>
      </c>
      <c r="R39" s="7">
        <v>39</v>
      </c>
      <c r="S39" s="6">
        <f t="shared" si="10"/>
        <v>39</v>
      </c>
      <c r="T39">
        <v>16</v>
      </c>
      <c r="U39">
        <f t="shared" si="11"/>
        <v>16</v>
      </c>
      <c r="V39">
        <f t="shared" si="25"/>
        <v>1638</v>
      </c>
      <c r="W39" s="12">
        <f t="shared" si="13"/>
        <v>1638</v>
      </c>
      <c r="X39">
        <f t="shared" si="26"/>
        <v>672</v>
      </c>
      <c r="Y39" s="6">
        <f t="shared" si="15"/>
        <v>672</v>
      </c>
      <c r="Z39">
        <f t="shared" si="21"/>
        <v>2.4375</v>
      </c>
      <c r="AA39" s="12">
        <f t="shared" si="22"/>
        <v>2.4375</v>
      </c>
      <c r="AB39">
        <f t="shared" si="16"/>
        <v>1.488095238095238E-3</v>
      </c>
      <c r="AC39" s="13">
        <f t="shared" si="17"/>
        <v>1.488095238095238E-3</v>
      </c>
      <c r="AF39" t="s">
        <v>174</v>
      </c>
      <c r="AG39" t="str">
        <f t="shared" si="23"/>
        <v>Wireless Mouse</v>
      </c>
      <c r="AP39" t="str">
        <f t="shared" si="24"/>
        <v>Lebanon</v>
      </c>
      <c r="AV39" t="str">
        <f t="shared" si="18"/>
        <v>Middle East</v>
      </c>
    </row>
    <row r="40" spans="1:48" x14ac:dyDescent="0.3">
      <c r="A40" t="s">
        <v>53</v>
      </c>
      <c r="B40" t="s">
        <v>238</v>
      </c>
      <c r="C40" s="2" t="s">
        <v>238</v>
      </c>
      <c r="D40" t="s">
        <v>131</v>
      </c>
      <c r="E40" t="str">
        <f t="shared" si="19"/>
        <v>Ryan Walker</v>
      </c>
      <c r="F40" t="s">
        <v>156</v>
      </c>
      <c r="G40" t="str">
        <f t="shared" si="5"/>
        <v>Zara Jacket</v>
      </c>
      <c r="H40" t="s">
        <v>185</v>
      </c>
      <c r="I40" t="str">
        <f t="shared" si="6"/>
        <v>Apparel</v>
      </c>
      <c r="J40" t="s">
        <v>197</v>
      </c>
      <c r="K40" t="str">
        <f t="shared" si="20"/>
        <v>Lebanon</v>
      </c>
      <c r="L40" t="s">
        <v>204</v>
      </c>
      <c r="M40" t="str">
        <f t="shared" si="7"/>
        <v>Middle East</v>
      </c>
      <c r="N40" t="s">
        <v>213</v>
      </c>
      <c r="O40" t="str">
        <f t="shared" si="8"/>
        <v>Fadi Karnib</v>
      </c>
      <c r="P40">
        <v>1</v>
      </c>
      <c r="Q40">
        <f t="shared" si="9"/>
        <v>1</v>
      </c>
      <c r="R40" s="7">
        <v>190</v>
      </c>
      <c r="S40" s="6">
        <f t="shared" si="10"/>
        <v>190</v>
      </c>
      <c r="T40">
        <v>40</v>
      </c>
      <c r="U40">
        <f t="shared" si="11"/>
        <v>40</v>
      </c>
      <c r="V40">
        <f t="shared" si="25"/>
        <v>190</v>
      </c>
      <c r="W40" s="12">
        <f t="shared" si="13"/>
        <v>190</v>
      </c>
      <c r="X40">
        <f t="shared" si="26"/>
        <v>40</v>
      </c>
      <c r="Y40" s="6">
        <f t="shared" si="15"/>
        <v>40</v>
      </c>
      <c r="Z40">
        <f t="shared" si="21"/>
        <v>4.75</v>
      </c>
      <c r="AA40" s="12">
        <f t="shared" si="22"/>
        <v>4.75</v>
      </c>
      <c r="AB40">
        <f t="shared" si="16"/>
        <v>2.5000000000000001E-2</v>
      </c>
      <c r="AC40" s="13">
        <f t="shared" si="17"/>
        <v>2.5000000000000001E-2</v>
      </c>
      <c r="AF40" t="s">
        <v>156</v>
      </c>
      <c r="AG40" t="str">
        <f t="shared" si="23"/>
        <v>Zara Jacket</v>
      </c>
      <c r="AP40" t="str">
        <f t="shared" si="24"/>
        <v>Lebanon</v>
      </c>
      <c r="AV40" t="str">
        <f t="shared" si="18"/>
        <v>Middle East</v>
      </c>
    </row>
    <row r="41" spans="1:48" x14ac:dyDescent="0.3">
      <c r="A41" t="s">
        <v>54</v>
      </c>
      <c r="B41" t="s">
        <v>239</v>
      </c>
      <c r="C41" s="2" t="s">
        <v>239</v>
      </c>
      <c r="D41" t="s">
        <v>132</v>
      </c>
      <c r="E41" t="str">
        <f t="shared" si="19"/>
        <v>Luis Diaz</v>
      </c>
      <c r="F41" t="s">
        <v>175</v>
      </c>
      <c r="G41" t="str">
        <f t="shared" si="5"/>
        <v>Running Shoes</v>
      </c>
      <c r="H41" t="s">
        <v>185</v>
      </c>
      <c r="I41" t="str">
        <f t="shared" si="6"/>
        <v>Apparel</v>
      </c>
      <c r="J41" t="s">
        <v>198</v>
      </c>
      <c r="K41" t="str">
        <f t="shared" si="20"/>
        <v>Canada</v>
      </c>
      <c r="L41" t="s">
        <v>206</v>
      </c>
      <c r="M41" t="str">
        <f t="shared" si="7"/>
        <v>North America</v>
      </c>
      <c r="N41" t="s">
        <v>210</v>
      </c>
      <c r="O41" t="str">
        <f t="shared" si="8"/>
        <v>Perla Yunani</v>
      </c>
      <c r="P41">
        <v>72</v>
      </c>
      <c r="Q41">
        <f t="shared" si="9"/>
        <v>72</v>
      </c>
      <c r="R41" s="7">
        <v>90</v>
      </c>
      <c r="S41" s="6">
        <f t="shared" si="10"/>
        <v>90</v>
      </c>
      <c r="T41">
        <v>47</v>
      </c>
      <c r="U41">
        <f t="shared" si="11"/>
        <v>47</v>
      </c>
      <c r="V41">
        <f t="shared" si="25"/>
        <v>6480</v>
      </c>
      <c r="W41" s="12">
        <f t="shared" si="13"/>
        <v>6480</v>
      </c>
      <c r="X41">
        <f t="shared" si="26"/>
        <v>3384</v>
      </c>
      <c r="Y41" s="6">
        <f t="shared" si="15"/>
        <v>3384</v>
      </c>
      <c r="Z41">
        <f t="shared" si="21"/>
        <v>1.9148936170212767</v>
      </c>
      <c r="AA41" s="12">
        <f t="shared" si="22"/>
        <v>1.9148936170212767</v>
      </c>
      <c r="AB41">
        <f t="shared" si="16"/>
        <v>2.9550827423167848E-4</v>
      </c>
      <c r="AC41" s="13">
        <f t="shared" si="17"/>
        <v>2.9550827423167848E-4</v>
      </c>
      <c r="AF41" t="s">
        <v>175</v>
      </c>
      <c r="AG41" t="str">
        <f t="shared" si="23"/>
        <v>Running Shoes</v>
      </c>
      <c r="AP41" t="str">
        <f t="shared" si="24"/>
        <v>Canada</v>
      </c>
      <c r="AV41" t="str">
        <f t="shared" si="18"/>
        <v>North America</v>
      </c>
    </row>
    <row r="42" spans="1:48" x14ac:dyDescent="0.3">
      <c r="A42" t="s">
        <v>55</v>
      </c>
      <c r="B42" s="1">
        <v>46024</v>
      </c>
      <c r="C42" s="15">
        <v>46024</v>
      </c>
      <c r="D42" t="s">
        <v>133</v>
      </c>
      <c r="E42" t="str">
        <f t="shared" si="19"/>
        <v>Ronaldo Di</v>
      </c>
      <c r="F42" t="s">
        <v>177</v>
      </c>
      <c r="G42" t="str">
        <f t="shared" si="5"/>
        <v>Gaming Chair</v>
      </c>
      <c r="H42" t="s">
        <v>183</v>
      </c>
      <c r="I42" t="str">
        <f t="shared" si="6"/>
        <v>Furniture</v>
      </c>
      <c r="J42" t="s">
        <v>199</v>
      </c>
      <c r="K42" t="str">
        <f t="shared" si="20"/>
        <v>UAE</v>
      </c>
      <c r="L42" t="s">
        <v>204</v>
      </c>
      <c r="M42" t="str">
        <f t="shared" si="7"/>
        <v>Middle East</v>
      </c>
      <c r="N42" t="s">
        <v>207</v>
      </c>
      <c r="O42" t="str">
        <f t="shared" si="8"/>
        <v>Samer Chawlah</v>
      </c>
      <c r="P42">
        <v>1</v>
      </c>
      <c r="Q42">
        <f t="shared" si="9"/>
        <v>1</v>
      </c>
      <c r="R42" s="7">
        <v>225</v>
      </c>
      <c r="S42" s="6">
        <f t="shared" si="10"/>
        <v>225</v>
      </c>
      <c r="T42">
        <v>120</v>
      </c>
      <c r="U42">
        <f t="shared" si="11"/>
        <v>120</v>
      </c>
      <c r="V42">
        <f t="shared" si="25"/>
        <v>225</v>
      </c>
      <c r="W42" s="12">
        <f t="shared" si="13"/>
        <v>225</v>
      </c>
      <c r="X42">
        <f t="shared" si="26"/>
        <v>120</v>
      </c>
      <c r="Y42" s="6">
        <f t="shared" si="15"/>
        <v>120</v>
      </c>
      <c r="Z42">
        <f t="shared" si="21"/>
        <v>1.875</v>
      </c>
      <c r="AA42" s="12">
        <f t="shared" si="22"/>
        <v>1.875</v>
      </c>
      <c r="AB42">
        <f t="shared" si="16"/>
        <v>8.3333333333333332E-3</v>
      </c>
      <c r="AC42" s="13">
        <f t="shared" si="17"/>
        <v>8.3333333333333332E-3</v>
      </c>
      <c r="AF42" t="s">
        <v>177</v>
      </c>
      <c r="AG42" t="str">
        <f t="shared" si="23"/>
        <v>Gaming Chair</v>
      </c>
      <c r="AP42" t="str">
        <f t="shared" si="24"/>
        <v>U.A.E</v>
      </c>
      <c r="AV42" t="str">
        <f t="shared" si="18"/>
        <v>Middle East</v>
      </c>
    </row>
    <row r="43" spans="1:48" x14ac:dyDescent="0.3">
      <c r="A43" t="s">
        <v>56</v>
      </c>
      <c r="B43" s="1">
        <v>46055</v>
      </c>
      <c r="C43" s="15">
        <v>46055</v>
      </c>
      <c r="D43" t="s">
        <v>134</v>
      </c>
      <c r="E43" t="str">
        <f t="shared" si="19"/>
        <v>Isabella Harris</v>
      </c>
      <c r="F43" t="s">
        <v>153</v>
      </c>
      <c r="G43" t="str">
        <f t="shared" si="5"/>
        <v>Office Chair</v>
      </c>
      <c r="H43" t="s">
        <v>183</v>
      </c>
      <c r="I43" t="str">
        <f t="shared" si="6"/>
        <v>Furniture</v>
      </c>
      <c r="J43" t="s">
        <v>200</v>
      </c>
      <c r="K43" t="str">
        <f t="shared" si="20"/>
        <v>France</v>
      </c>
      <c r="L43" t="s">
        <v>205</v>
      </c>
      <c r="M43" t="str">
        <f t="shared" si="7"/>
        <v>Europe</v>
      </c>
      <c r="N43" t="s">
        <v>212</v>
      </c>
      <c r="O43" t="str">
        <f t="shared" si="8"/>
        <v>Xana Rikz</v>
      </c>
      <c r="P43">
        <v>1</v>
      </c>
      <c r="Q43">
        <f t="shared" si="9"/>
        <v>1</v>
      </c>
      <c r="R43" s="7">
        <v>180</v>
      </c>
      <c r="S43" s="6">
        <f t="shared" si="10"/>
        <v>180</v>
      </c>
      <c r="T43">
        <v>85</v>
      </c>
      <c r="U43">
        <f t="shared" si="11"/>
        <v>85</v>
      </c>
      <c r="V43">
        <f t="shared" si="25"/>
        <v>180</v>
      </c>
      <c r="W43" s="12">
        <f t="shared" si="13"/>
        <v>180</v>
      </c>
      <c r="X43">
        <f t="shared" si="26"/>
        <v>85</v>
      </c>
      <c r="Y43" s="6">
        <f t="shared" si="15"/>
        <v>85</v>
      </c>
      <c r="Z43">
        <f t="shared" si="21"/>
        <v>2.1176470588235294</v>
      </c>
      <c r="AA43" s="12">
        <f t="shared" si="22"/>
        <v>2.1176470588235294</v>
      </c>
      <c r="AB43">
        <f t="shared" si="16"/>
        <v>1.1764705882352941E-2</v>
      </c>
      <c r="AC43" s="13">
        <f t="shared" si="17"/>
        <v>1.1764705882352941E-2</v>
      </c>
      <c r="AF43" t="s">
        <v>153</v>
      </c>
      <c r="AG43" t="str">
        <f t="shared" si="23"/>
        <v>Office Chair</v>
      </c>
      <c r="AP43" t="str">
        <f t="shared" si="24"/>
        <v>Frnace</v>
      </c>
      <c r="AV43" t="str">
        <f t="shared" si="18"/>
        <v>Europe</v>
      </c>
    </row>
    <row r="44" spans="1:48" x14ac:dyDescent="0.3">
      <c r="A44" t="s">
        <v>57</v>
      </c>
      <c r="B44" t="s">
        <v>240</v>
      </c>
      <c r="C44" s="2" t="s">
        <v>240</v>
      </c>
      <c r="D44" t="s">
        <v>135</v>
      </c>
      <c r="E44" t="str">
        <f t="shared" si="19"/>
        <v>Hanna Abi Habib</v>
      </c>
      <c r="F44" t="s">
        <v>178</v>
      </c>
      <c r="G44" t="str">
        <f t="shared" si="5"/>
        <v>Zara Jacket</v>
      </c>
      <c r="H44" t="s">
        <v>185</v>
      </c>
      <c r="I44" t="str">
        <f t="shared" si="6"/>
        <v>Apparel</v>
      </c>
      <c r="J44" t="s">
        <v>194</v>
      </c>
      <c r="K44" t="str">
        <f t="shared" si="20"/>
        <v>Lebanon</v>
      </c>
      <c r="L44" t="s">
        <v>204</v>
      </c>
      <c r="M44" t="str">
        <f t="shared" si="7"/>
        <v>Middle East</v>
      </c>
      <c r="N44" t="s">
        <v>207</v>
      </c>
      <c r="O44" t="str">
        <f t="shared" si="8"/>
        <v>Samer Chawlah</v>
      </c>
      <c r="P44">
        <v>1</v>
      </c>
      <c r="Q44">
        <f t="shared" si="9"/>
        <v>1</v>
      </c>
      <c r="R44" s="7">
        <v>190</v>
      </c>
      <c r="S44" s="6">
        <f t="shared" si="10"/>
        <v>190</v>
      </c>
      <c r="T44">
        <v>40</v>
      </c>
      <c r="U44">
        <f t="shared" si="11"/>
        <v>40</v>
      </c>
      <c r="V44">
        <f t="shared" si="25"/>
        <v>190</v>
      </c>
      <c r="W44" s="12">
        <f t="shared" si="13"/>
        <v>190</v>
      </c>
      <c r="X44">
        <f t="shared" si="26"/>
        <v>40</v>
      </c>
      <c r="Y44" s="6">
        <f t="shared" si="15"/>
        <v>40</v>
      </c>
      <c r="Z44">
        <f t="shared" si="21"/>
        <v>4.75</v>
      </c>
      <c r="AA44" s="12">
        <f t="shared" si="22"/>
        <v>4.75</v>
      </c>
      <c r="AB44">
        <f t="shared" si="16"/>
        <v>2.5000000000000001E-2</v>
      </c>
      <c r="AC44" s="13">
        <f t="shared" si="17"/>
        <v>2.5000000000000001E-2</v>
      </c>
      <c r="AF44" t="s">
        <v>178</v>
      </c>
      <c r="AG44" t="str">
        <f t="shared" si="23"/>
        <v>Zara Jacket</v>
      </c>
      <c r="AP44" t="str">
        <f t="shared" si="24"/>
        <v>Lebanon</v>
      </c>
      <c r="AV44" t="str">
        <f t="shared" si="18"/>
        <v>Middle East</v>
      </c>
    </row>
    <row r="45" spans="1:48" x14ac:dyDescent="0.3">
      <c r="A45" t="s">
        <v>58</v>
      </c>
      <c r="B45" t="s">
        <v>241</v>
      </c>
      <c r="C45" s="2" t="s">
        <v>241</v>
      </c>
      <c r="D45" t="s">
        <v>136</v>
      </c>
      <c r="E45" t="str">
        <f t="shared" si="19"/>
        <v>Chloe Thomson</v>
      </c>
      <c r="F45" t="s">
        <v>175</v>
      </c>
      <c r="G45" t="str">
        <f t="shared" si="5"/>
        <v>Running Shoes</v>
      </c>
      <c r="H45" t="s">
        <v>185</v>
      </c>
      <c r="I45" t="str">
        <f>_xlfn.XLOOKUP(G45,$AM:$AM,$AN:$AN,"Not Found")</f>
        <v>Apparel</v>
      </c>
      <c r="J45" t="s">
        <v>195</v>
      </c>
      <c r="K45" t="str">
        <f t="shared" si="20"/>
        <v>UAE</v>
      </c>
      <c r="L45" t="s">
        <v>204</v>
      </c>
      <c r="M45" t="str">
        <f t="shared" si="7"/>
        <v>Middle East</v>
      </c>
      <c r="N45" t="s">
        <v>213</v>
      </c>
      <c r="O45" t="str">
        <f t="shared" si="8"/>
        <v>Fadi Karnib</v>
      </c>
      <c r="P45">
        <v>5</v>
      </c>
      <c r="Q45">
        <f t="shared" si="9"/>
        <v>5</v>
      </c>
      <c r="R45" s="7">
        <v>90</v>
      </c>
      <c r="S45" s="6">
        <f t="shared" si="10"/>
        <v>90</v>
      </c>
      <c r="T45">
        <v>25</v>
      </c>
      <c r="U45">
        <f t="shared" si="11"/>
        <v>25</v>
      </c>
      <c r="V45">
        <f t="shared" si="25"/>
        <v>450</v>
      </c>
      <c r="W45" s="12">
        <f t="shared" si="13"/>
        <v>450</v>
      </c>
      <c r="X45">
        <f t="shared" si="26"/>
        <v>125</v>
      </c>
      <c r="Y45" s="6">
        <f t="shared" si="15"/>
        <v>125</v>
      </c>
      <c r="Z45">
        <f t="shared" si="21"/>
        <v>3.6</v>
      </c>
      <c r="AA45" s="12">
        <f t="shared" si="22"/>
        <v>3.6</v>
      </c>
      <c r="AB45">
        <f t="shared" si="16"/>
        <v>8.0000000000000002E-3</v>
      </c>
      <c r="AC45" s="13">
        <f t="shared" si="17"/>
        <v>8.0000000000000002E-3</v>
      </c>
      <c r="AF45" t="s">
        <v>175</v>
      </c>
      <c r="AG45" t="str">
        <f t="shared" si="23"/>
        <v>Running Shoes</v>
      </c>
      <c r="AP45" t="str">
        <f t="shared" si="24"/>
        <v>Uae</v>
      </c>
      <c r="AV45" t="str">
        <f t="shared" si="18"/>
        <v>Middle East</v>
      </c>
    </row>
    <row r="46" spans="1:48" x14ac:dyDescent="0.3">
      <c r="A46" t="s">
        <v>59</v>
      </c>
      <c r="B46" t="s">
        <v>94</v>
      </c>
      <c r="C46" s="2" t="s">
        <v>94</v>
      </c>
      <c r="D46" t="s">
        <v>137</v>
      </c>
      <c r="E46" t="str">
        <f t="shared" si="19"/>
        <v>Carrick Fernandez</v>
      </c>
      <c r="F46" t="s">
        <v>174</v>
      </c>
      <c r="G46" t="str">
        <f t="shared" si="5"/>
        <v>Wireless Mouse</v>
      </c>
      <c r="H46" t="s">
        <v>185</v>
      </c>
      <c r="I46" t="str">
        <f t="shared" si="6"/>
        <v>Electronics</v>
      </c>
      <c r="J46" t="s">
        <v>201</v>
      </c>
      <c r="K46" t="str">
        <f t="shared" si="20"/>
        <v>Germany</v>
      </c>
      <c r="L46" t="s">
        <v>205</v>
      </c>
      <c r="M46" t="str">
        <f t="shared" si="7"/>
        <v>Europe</v>
      </c>
      <c r="N46" t="s">
        <v>209</v>
      </c>
      <c r="O46" t="str">
        <f t="shared" si="8"/>
        <v>Dimitri Ksara</v>
      </c>
      <c r="P46">
        <v>36</v>
      </c>
      <c r="Q46">
        <f t="shared" si="9"/>
        <v>36</v>
      </c>
      <c r="R46" s="7">
        <v>41</v>
      </c>
      <c r="S46" s="6">
        <f t="shared" si="10"/>
        <v>41</v>
      </c>
      <c r="T46">
        <v>16</v>
      </c>
      <c r="U46">
        <f t="shared" si="11"/>
        <v>16</v>
      </c>
      <c r="V46">
        <f t="shared" si="25"/>
        <v>1476</v>
      </c>
      <c r="W46" s="12">
        <f t="shared" si="13"/>
        <v>1476</v>
      </c>
      <c r="X46">
        <f t="shared" si="26"/>
        <v>576</v>
      </c>
      <c r="Y46" s="6">
        <f t="shared" si="15"/>
        <v>576</v>
      </c>
      <c r="Z46">
        <f t="shared" si="21"/>
        <v>2.5625</v>
      </c>
      <c r="AA46" s="12">
        <f t="shared" si="22"/>
        <v>2.5625</v>
      </c>
      <c r="AB46">
        <f t="shared" si="16"/>
        <v>1.736111111111111E-3</v>
      </c>
      <c r="AC46" s="13">
        <f t="shared" si="17"/>
        <v>1.736111111111111E-3</v>
      </c>
      <c r="AF46" t="s">
        <v>174</v>
      </c>
      <c r="AG46" t="str">
        <f t="shared" si="23"/>
        <v>Wireless Mouse</v>
      </c>
      <c r="AP46" t="str">
        <f t="shared" si="24"/>
        <v>Germany</v>
      </c>
      <c r="AV46" t="str">
        <f t="shared" si="18"/>
        <v>Europe</v>
      </c>
    </row>
    <row r="47" spans="1:48" x14ac:dyDescent="0.3">
      <c r="A47" t="s">
        <v>60</v>
      </c>
      <c r="B47" t="s">
        <v>242</v>
      </c>
      <c r="C47" s="2" t="s">
        <v>242</v>
      </c>
      <c r="D47" t="s">
        <v>138</v>
      </c>
      <c r="E47" t="str">
        <f t="shared" si="19"/>
        <v>Lana Rawas</v>
      </c>
      <c r="F47" t="s">
        <v>146</v>
      </c>
      <c r="G47" t="str">
        <f t="shared" si="5"/>
        <v>Keyboard</v>
      </c>
      <c r="H47" t="s">
        <v>179</v>
      </c>
      <c r="I47" t="str">
        <f t="shared" si="6"/>
        <v>Electronics</v>
      </c>
      <c r="J47" t="s">
        <v>202</v>
      </c>
      <c r="K47" t="str">
        <f t="shared" si="20"/>
        <v>Germany</v>
      </c>
      <c r="L47" t="s">
        <v>205</v>
      </c>
      <c r="M47" t="str">
        <f t="shared" si="7"/>
        <v>Europe</v>
      </c>
      <c r="N47" t="s">
        <v>212</v>
      </c>
      <c r="O47" t="str">
        <f t="shared" si="8"/>
        <v>Xana Rikz</v>
      </c>
      <c r="P47">
        <v>42</v>
      </c>
      <c r="Q47">
        <f t="shared" si="9"/>
        <v>42</v>
      </c>
      <c r="R47" s="7">
        <v>55</v>
      </c>
      <c r="S47" s="6">
        <f t="shared" si="10"/>
        <v>55</v>
      </c>
      <c r="T47">
        <v>9</v>
      </c>
      <c r="U47">
        <f t="shared" si="11"/>
        <v>9</v>
      </c>
      <c r="V47">
        <f t="shared" si="25"/>
        <v>2310</v>
      </c>
      <c r="W47" s="12">
        <f t="shared" si="13"/>
        <v>2310</v>
      </c>
      <c r="X47">
        <f t="shared" si="26"/>
        <v>378</v>
      </c>
      <c r="Y47" s="6">
        <f t="shared" si="15"/>
        <v>378</v>
      </c>
      <c r="Z47">
        <f t="shared" si="21"/>
        <v>6.1111111111111107</v>
      </c>
      <c r="AA47" s="12">
        <f t="shared" si="22"/>
        <v>6.1111111111111107</v>
      </c>
      <c r="AB47">
        <f t="shared" si="16"/>
        <v>2.6455026455026454E-3</v>
      </c>
      <c r="AC47" s="13">
        <f t="shared" si="17"/>
        <v>2.6455026455026454E-3</v>
      </c>
      <c r="AF47" t="s">
        <v>146</v>
      </c>
      <c r="AG47" t="str">
        <f t="shared" si="23"/>
        <v>Keyboard</v>
      </c>
      <c r="AP47" t="str">
        <f t="shared" si="24"/>
        <v>Germany</v>
      </c>
      <c r="AV47" t="str">
        <f t="shared" si="18"/>
        <v>Europe</v>
      </c>
    </row>
    <row r="48" spans="1:48" x14ac:dyDescent="0.3">
      <c r="A48" t="s">
        <v>61</v>
      </c>
      <c r="B48" t="s">
        <v>96</v>
      </c>
      <c r="C48" s="2" t="s">
        <v>96</v>
      </c>
      <c r="D48" t="s">
        <v>139</v>
      </c>
      <c r="E48" t="str">
        <f t="shared" si="19"/>
        <v>Elie Bruno</v>
      </c>
      <c r="F48" t="s">
        <v>167</v>
      </c>
      <c r="G48" t="str">
        <f t="shared" si="5"/>
        <v>Mouse</v>
      </c>
      <c r="H48" t="s">
        <v>183</v>
      </c>
      <c r="I48" t="str">
        <f t="shared" si="6"/>
        <v>Electronics</v>
      </c>
      <c r="J48" t="s">
        <v>194</v>
      </c>
      <c r="K48" t="str">
        <f t="shared" si="20"/>
        <v>Lebanon</v>
      </c>
      <c r="L48" t="s">
        <v>204</v>
      </c>
      <c r="M48" t="str">
        <f t="shared" si="7"/>
        <v>Middle East</v>
      </c>
      <c r="N48" t="s">
        <v>215</v>
      </c>
      <c r="O48" t="str">
        <f t="shared" si="8"/>
        <v>Rabih Nounani</v>
      </c>
      <c r="P48">
        <v>36</v>
      </c>
      <c r="Q48">
        <f t="shared" si="9"/>
        <v>36</v>
      </c>
      <c r="R48" s="7">
        <v>25</v>
      </c>
      <c r="S48" s="6">
        <f t="shared" si="10"/>
        <v>25</v>
      </c>
      <c r="T48">
        <v>9</v>
      </c>
      <c r="U48">
        <f t="shared" si="11"/>
        <v>9</v>
      </c>
      <c r="V48">
        <f t="shared" si="25"/>
        <v>900</v>
      </c>
      <c r="W48" s="12">
        <f t="shared" si="13"/>
        <v>900</v>
      </c>
      <c r="X48">
        <f t="shared" si="26"/>
        <v>324</v>
      </c>
      <c r="Y48" s="6">
        <f t="shared" si="15"/>
        <v>324</v>
      </c>
      <c r="Z48">
        <f t="shared" si="21"/>
        <v>2.7777777777777777</v>
      </c>
      <c r="AA48" s="12">
        <f t="shared" si="22"/>
        <v>2.7777777777777777</v>
      </c>
      <c r="AB48">
        <f t="shared" si="16"/>
        <v>3.0864197530864196E-3</v>
      </c>
      <c r="AC48" s="13">
        <f t="shared" si="17"/>
        <v>3.0864197530864196E-3</v>
      </c>
      <c r="AF48" t="s">
        <v>167</v>
      </c>
      <c r="AG48" t="str">
        <f t="shared" si="23"/>
        <v>Mouse</v>
      </c>
      <c r="AP48" t="str">
        <f t="shared" si="24"/>
        <v>Lebanon</v>
      </c>
      <c r="AV48" t="str">
        <f t="shared" si="18"/>
        <v>Middle East</v>
      </c>
    </row>
    <row r="49" spans="1:48" x14ac:dyDescent="0.3">
      <c r="A49" t="s">
        <v>62</v>
      </c>
      <c r="B49" t="s">
        <v>243</v>
      </c>
      <c r="C49" s="2" t="s">
        <v>243</v>
      </c>
      <c r="D49" t="s">
        <v>140</v>
      </c>
      <c r="E49" t="str">
        <f t="shared" si="19"/>
        <v>Jamal Hansi</v>
      </c>
      <c r="F49" t="s">
        <v>176</v>
      </c>
      <c r="G49" t="str">
        <f t="shared" si="5"/>
        <v>Gaming Chair</v>
      </c>
      <c r="H49" t="s">
        <v>183</v>
      </c>
      <c r="I49" t="str">
        <f t="shared" si="6"/>
        <v>Furniture</v>
      </c>
      <c r="J49" t="s">
        <v>194</v>
      </c>
      <c r="K49" t="str">
        <f t="shared" si="20"/>
        <v>Lebanon</v>
      </c>
      <c r="L49" t="s">
        <v>204</v>
      </c>
      <c r="M49" t="str">
        <f t="shared" si="7"/>
        <v>Middle East</v>
      </c>
      <c r="N49" t="s">
        <v>213</v>
      </c>
      <c r="O49" t="str">
        <f t="shared" si="8"/>
        <v>Fadi Karnib</v>
      </c>
      <c r="P49">
        <v>10</v>
      </c>
      <c r="Q49">
        <f t="shared" si="9"/>
        <v>10</v>
      </c>
      <c r="R49" s="7">
        <v>225</v>
      </c>
      <c r="S49" s="6">
        <f t="shared" si="10"/>
        <v>225</v>
      </c>
      <c r="T49">
        <v>170</v>
      </c>
      <c r="U49">
        <f t="shared" si="11"/>
        <v>170</v>
      </c>
      <c r="V49">
        <f t="shared" si="25"/>
        <v>2250</v>
      </c>
      <c r="W49" s="12">
        <f t="shared" si="13"/>
        <v>2250</v>
      </c>
      <c r="X49">
        <f t="shared" si="26"/>
        <v>1700</v>
      </c>
      <c r="Y49" s="6">
        <f t="shared" si="15"/>
        <v>1700</v>
      </c>
      <c r="Z49">
        <f t="shared" si="21"/>
        <v>1.3235294117647058</v>
      </c>
      <c r="AA49" s="12">
        <f t="shared" si="22"/>
        <v>1.3235294117647058</v>
      </c>
      <c r="AB49">
        <f t="shared" si="16"/>
        <v>5.8823529411764701E-4</v>
      </c>
      <c r="AC49" s="13">
        <f t="shared" si="17"/>
        <v>5.8823529411764701E-4</v>
      </c>
      <c r="AF49" t="s">
        <v>176</v>
      </c>
      <c r="AG49" t="str">
        <f t="shared" si="23"/>
        <v>Gaming Chair</v>
      </c>
      <c r="AP49" t="str">
        <f t="shared" si="24"/>
        <v>Lebanon</v>
      </c>
      <c r="AV49" t="str">
        <f t="shared" si="18"/>
        <v>Middle East</v>
      </c>
    </row>
    <row r="50" spans="1:48" x14ac:dyDescent="0.3">
      <c r="A50" t="s">
        <v>63</v>
      </c>
      <c r="B50" t="s">
        <v>98</v>
      </c>
      <c r="C50" s="2" t="s">
        <v>98</v>
      </c>
      <c r="D50" t="s">
        <v>141</v>
      </c>
      <c r="E50" t="str">
        <f t="shared" si="19"/>
        <v>Antonia Moub</v>
      </c>
      <c r="F50" t="s">
        <v>159</v>
      </c>
      <c r="G50" t="str">
        <f t="shared" si="5"/>
        <v>Air Conditioner</v>
      </c>
      <c r="H50" t="s">
        <v>188</v>
      </c>
      <c r="I50" t="str">
        <f t="shared" si="6"/>
        <v>Appliances</v>
      </c>
      <c r="J50" t="s">
        <v>196</v>
      </c>
      <c r="K50" t="str">
        <f t="shared" si="20"/>
        <v>France</v>
      </c>
      <c r="L50" t="s">
        <v>205</v>
      </c>
      <c r="M50" t="str">
        <f t="shared" si="7"/>
        <v>Europe</v>
      </c>
      <c r="N50" t="s">
        <v>212</v>
      </c>
      <c r="O50" t="str">
        <f t="shared" si="8"/>
        <v>Xana Rikz</v>
      </c>
      <c r="P50">
        <v>1</v>
      </c>
      <c r="Q50">
        <f t="shared" si="9"/>
        <v>1</v>
      </c>
      <c r="R50" s="7">
        <v>330</v>
      </c>
      <c r="S50" s="6">
        <f t="shared" si="10"/>
        <v>330</v>
      </c>
      <c r="T50">
        <v>225</v>
      </c>
      <c r="U50">
        <f t="shared" si="11"/>
        <v>225</v>
      </c>
      <c r="V50">
        <f t="shared" si="25"/>
        <v>330</v>
      </c>
      <c r="W50" s="12">
        <f t="shared" si="13"/>
        <v>330</v>
      </c>
      <c r="X50">
        <f t="shared" si="26"/>
        <v>225</v>
      </c>
      <c r="Y50" s="6">
        <f t="shared" si="15"/>
        <v>225</v>
      </c>
      <c r="Z50">
        <f t="shared" si="21"/>
        <v>1.4666666666666666</v>
      </c>
      <c r="AA50" s="12">
        <f t="shared" si="22"/>
        <v>1.4666666666666666</v>
      </c>
      <c r="AB50">
        <f t="shared" si="16"/>
        <v>4.4444444444444444E-3</v>
      </c>
      <c r="AC50" s="13">
        <f t="shared" si="17"/>
        <v>4.4444444444444444E-3</v>
      </c>
      <c r="AF50" t="s">
        <v>159</v>
      </c>
      <c r="AG50" t="str">
        <f t="shared" si="23"/>
        <v>Air Conditioner</v>
      </c>
      <c r="AP50" t="str">
        <f t="shared" si="24"/>
        <v>France</v>
      </c>
      <c r="AV50" t="str">
        <f t="shared" si="18"/>
        <v>Europe</v>
      </c>
    </row>
    <row r="51" spans="1:48" x14ac:dyDescent="0.3">
      <c r="A51" t="s">
        <v>64</v>
      </c>
      <c r="B51" t="s">
        <v>99</v>
      </c>
      <c r="C51" s="2" t="s">
        <v>99</v>
      </c>
      <c r="D51" t="s">
        <v>142</v>
      </c>
      <c r="E51" t="str">
        <f t="shared" si="19"/>
        <v>Angelina Noub</v>
      </c>
      <c r="F51" t="s">
        <v>154</v>
      </c>
      <c r="G51" t="str">
        <f t="shared" si="5"/>
        <v>iPhone 17</v>
      </c>
      <c r="H51" t="s">
        <v>179</v>
      </c>
      <c r="I51" t="str">
        <f t="shared" si="6"/>
        <v>Electronics</v>
      </c>
      <c r="J51" t="s">
        <v>203</v>
      </c>
      <c r="K51" t="str">
        <f t="shared" si="20"/>
        <v>France</v>
      </c>
      <c r="L51" t="s">
        <v>205</v>
      </c>
      <c r="M51" t="str">
        <f t="shared" si="7"/>
        <v>Europe</v>
      </c>
      <c r="N51" t="s">
        <v>209</v>
      </c>
      <c r="O51" t="str">
        <f t="shared" si="8"/>
        <v>Dimitri Ksara</v>
      </c>
      <c r="P51">
        <v>6</v>
      </c>
      <c r="Q51">
        <f t="shared" si="9"/>
        <v>6</v>
      </c>
      <c r="R51" s="7">
        <v>1450</v>
      </c>
      <c r="S51" s="6">
        <f t="shared" si="10"/>
        <v>1450</v>
      </c>
      <c r="T51">
        <v>900</v>
      </c>
      <c r="U51">
        <f t="shared" si="11"/>
        <v>900</v>
      </c>
      <c r="V51">
        <f t="shared" si="25"/>
        <v>8700</v>
      </c>
      <c r="W51" s="12">
        <f t="shared" si="13"/>
        <v>8700</v>
      </c>
      <c r="X51">
        <f t="shared" si="26"/>
        <v>5400</v>
      </c>
      <c r="Y51" s="6">
        <f t="shared" si="15"/>
        <v>5400</v>
      </c>
      <c r="Z51">
        <f t="shared" si="21"/>
        <v>1.6111111111111112</v>
      </c>
      <c r="AA51" s="12">
        <f t="shared" si="22"/>
        <v>1.6111111111111112</v>
      </c>
      <c r="AB51">
        <f t="shared" si="16"/>
        <v>1.851851851851852E-4</v>
      </c>
      <c r="AC51" s="13">
        <f t="shared" si="17"/>
        <v>1.851851851851852E-4</v>
      </c>
      <c r="AF51" t="s">
        <v>154</v>
      </c>
      <c r="AG51" t="str">
        <f t="shared" si="23"/>
        <v>Iphone 17</v>
      </c>
      <c r="AP51" t="str">
        <f t="shared" si="24"/>
        <v>France</v>
      </c>
      <c r="AV51" t="str">
        <f t="shared" si="18"/>
        <v>Europe</v>
      </c>
    </row>
  </sheetData>
  <sortState xmlns:xlrd2="http://schemas.microsoft.com/office/spreadsheetml/2017/richdata2" ref="AM2:AM51">
    <sortCondition ref="AM2:AM51"/>
  </sortState>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5B370-075A-41CC-BB75-F9E129C9FA69}">
  <dimension ref="A3:K27"/>
  <sheetViews>
    <sheetView tabSelected="1" workbookViewId="0">
      <selection activeCell="K17" sqref="K17"/>
    </sheetView>
  </sheetViews>
  <sheetFormatPr defaultRowHeight="14.4" x14ac:dyDescent="0.3"/>
  <cols>
    <col min="1" max="1" width="12.88671875" bestFit="1" customWidth="1"/>
    <col min="2" max="2" width="19.77734375" bestFit="1" customWidth="1"/>
    <col min="3" max="3" width="20.77734375" bestFit="1" customWidth="1"/>
    <col min="4" max="4" width="12.44140625" bestFit="1" customWidth="1"/>
    <col min="5" max="6" width="19.77734375" bestFit="1" customWidth="1"/>
    <col min="7" max="7" width="13.77734375" bestFit="1" customWidth="1"/>
    <col min="8" max="8" width="17.33203125" bestFit="1" customWidth="1"/>
    <col min="10" max="10" width="12.44140625" bestFit="1" customWidth="1"/>
    <col min="11" max="11" width="17.33203125" bestFit="1" customWidth="1"/>
  </cols>
  <sheetData>
    <row r="3" spans="1:11" x14ac:dyDescent="0.3">
      <c r="A3" s="18" t="s">
        <v>4</v>
      </c>
      <c r="B3" t="s">
        <v>283</v>
      </c>
      <c r="D3" s="18" t="s">
        <v>0</v>
      </c>
      <c r="E3" t="s">
        <v>283</v>
      </c>
      <c r="G3" s="18" t="s">
        <v>4</v>
      </c>
      <c r="H3" t="s">
        <v>284</v>
      </c>
      <c r="J3" s="18" t="s">
        <v>281</v>
      </c>
      <c r="K3" t="s">
        <v>284</v>
      </c>
    </row>
    <row r="4" spans="1:11" x14ac:dyDescent="0.3">
      <c r="A4" s="19" t="s">
        <v>159</v>
      </c>
      <c r="B4" s="12">
        <v>15840</v>
      </c>
      <c r="D4" s="19" t="s">
        <v>195</v>
      </c>
      <c r="E4" s="12">
        <v>27240</v>
      </c>
      <c r="G4" s="19" t="s">
        <v>146</v>
      </c>
      <c r="H4" s="12">
        <v>22.977777777777778</v>
      </c>
      <c r="J4" s="19" t="s">
        <v>179</v>
      </c>
      <c r="K4" s="12">
        <v>71.960902577814338</v>
      </c>
    </row>
    <row r="5" spans="1:11" x14ac:dyDescent="0.3">
      <c r="A5" s="19" t="s">
        <v>266</v>
      </c>
      <c r="B5" s="12">
        <v>7300</v>
      </c>
      <c r="D5" s="19" t="s">
        <v>194</v>
      </c>
      <c r="E5" s="12">
        <v>20084</v>
      </c>
      <c r="G5" s="19" t="s">
        <v>163</v>
      </c>
      <c r="H5" s="12">
        <v>19</v>
      </c>
      <c r="J5" s="19" t="s">
        <v>185</v>
      </c>
      <c r="K5" s="12">
        <v>32.150131712259373</v>
      </c>
    </row>
    <row r="6" spans="1:11" x14ac:dyDescent="0.3">
      <c r="A6" s="19" t="s">
        <v>152</v>
      </c>
      <c r="B6" s="12">
        <v>11440</v>
      </c>
      <c r="D6" s="19" t="s">
        <v>196</v>
      </c>
      <c r="E6" s="12">
        <v>19196</v>
      </c>
      <c r="G6" s="19" t="s">
        <v>148</v>
      </c>
      <c r="H6" s="12">
        <v>18.222222222222221</v>
      </c>
      <c r="J6" s="19" t="s">
        <v>188</v>
      </c>
      <c r="K6" s="12">
        <v>11.051851851851852</v>
      </c>
    </row>
    <row r="7" spans="1:11" x14ac:dyDescent="0.3">
      <c r="A7" s="19" t="s">
        <v>250</v>
      </c>
      <c r="B7" s="12">
        <v>21300</v>
      </c>
      <c r="D7" s="19" t="s">
        <v>274</v>
      </c>
      <c r="E7" s="12">
        <v>9749</v>
      </c>
      <c r="G7" s="19" t="s">
        <v>267</v>
      </c>
      <c r="H7" s="12">
        <v>7.5625</v>
      </c>
      <c r="J7" s="19" t="s">
        <v>183</v>
      </c>
      <c r="K7" s="12">
        <v>8.4411764705882355</v>
      </c>
    </row>
    <row r="8" spans="1:11" x14ac:dyDescent="0.3">
      <c r="A8" s="19" t="s">
        <v>264</v>
      </c>
      <c r="B8" s="12">
        <v>9940</v>
      </c>
      <c r="D8" s="19" t="s">
        <v>201</v>
      </c>
      <c r="E8" s="12">
        <v>7546</v>
      </c>
      <c r="G8" s="19" t="s">
        <v>250</v>
      </c>
      <c r="H8" s="12">
        <v>5.7727272727272734</v>
      </c>
      <c r="J8" s="19" t="s">
        <v>190</v>
      </c>
      <c r="K8" s="12">
        <v>2.1428571428571428</v>
      </c>
    </row>
    <row r="9" spans="1:11" x14ac:dyDescent="0.3">
      <c r="A9" s="19" t="s">
        <v>282</v>
      </c>
      <c r="B9" s="12">
        <v>65820</v>
      </c>
      <c r="D9" s="19" t="s">
        <v>282</v>
      </c>
      <c r="E9" s="12">
        <v>83815</v>
      </c>
      <c r="G9" s="19" t="s">
        <v>268</v>
      </c>
      <c r="H9" s="12">
        <v>5.5148936170212766</v>
      </c>
      <c r="J9" s="19" t="s">
        <v>282</v>
      </c>
      <c r="K9" s="12">
        <v>125.74691975537093</v>
      </c>
    </row>
    <row r="10" spans="1:11" x14ac:dyDescent="0.3">
      <c r="G10" s="19" t="s">
        <v>153</v>
      </c>
      <c r="H10" s="12">
        <v>5.242647058823529</v>
      </c>
    </row>
    <row r="11" spans="1:11" x14ac:dyDescent="0.3">
      <c r="G11" s="19" t="s">
        <v>264</v>
      </c>
      <c r="H11" s="12">
        <v>5.1851851851851851</v>
      </c>
    </row>
    <row r="12" spans="1:11" x14ac:dyDescent="0.3">
      <c r="G12" s="19" t="s">
        <v>256</v>
      </c>
      <c r="H12" s="12">
        <v>5.0180995475113122</v>
      </c>
    </row>
    <row r="13" spans="1:11" x14ac:dyDescent="0.3">
      <c r="E13" s="12">
        <f>E9</f>
        <v>83815</v>
      </c>
      <c r="G13" s="19" t="s">
        <v>155</v>
      </c>
      <c r="H13" s="12">
        <v>4.54</v>
      </c>
    </row>
    <row r="14" spans="1:11" x14ac:dyDescent="0.3">
      <c r="G14" s="19" t="s">
        <v>151</v>
      </c>
      <c r="H14" s="12">
        <v>4.5</v>
      </c>
    </row>
    <row r="15" spans="1:11" x14ac:dyDescent="0.3">
      <c r="G15" s="19" t="s">
        <v>159</v>
      </c>
      <c r="H15" s="12">
        <v>4.3999999999999995</v>
      </c>
    </row>
    <row r="16" spans="1:11" x14ac:dyDescent="0.3">
      <c r="G16" s="19" t="s">
        <v>147</v>
      </c>
      <c r="H16" s="12">
        <v>3.6666666666666665</v>
      </c>
    </row>
    <row r="17" spans="7:8" x14ac:dyDescent="0.3">
      <c r="G17" s="19" t="s">
        <v>269</v>
      </c>
      <c r="H17" s="12">
        <v>3.1985294117647056</v>
      </c>
    </row>
    <row r="18" spans="7:8" x14ac:dyDescent="0.3">
      <c r="G18" s="19" t="s">
        <v>172</v>
      </c>
      <c r="H18" s="12">
        <v>3.0952380952380953</v>
      </c>
    </row>
    <row r="19" spans="7:8" x14ac:dyDescent="0.3">
      <c r="G19" s="19" t="s">
        <v>152</v>
      </c>
      <c r="H19" s="12">
        <v>2.581818181818182</v>
      </c>
    </row>
    <row r="20" spans="7:8" x14ac:dyDescent="0.3">
      <c r="G20" s="19" t="s">
        <v>270</v>
      </c>
      <c r="H20" s="12">
        <v>2.15</v>
      </c>
    </row>
    <row r="21" spans="7:8" x14ac:dyDescent="0.3">
      <c r="G21" s="19" t="s">
        <v>166</v>
      </c>
      <c r="H21" s="12">
        <v>2.1428571428571428</v>
      </c>
    </row>
    <row r="22" spans="7:8" x14ac:dyDescent="0.3">
      <c r="G22" s="19" t="s">
        <v>161</v>
      </c>
      <c r="H22" s="12">
        <v>1.4666666666666666</v>
      </c>
    </row>
    <row r="23" spans="7:8" x14ac:dyDescent="0.3">
      <c r="G23" s="19" t="s">
        <v>266</v>
      </c>
      <c r="H23" s="12">
        <v>1.3272727272727274</v>
      </c>
    </row>
    <row r="24" spans="7:8" x14ac:dyDescent="0.3">
      <c r="G24" s="19" t="s">
        <v>263</v>
      </c>
      <c r="H24" s="12">
        <v>0</v>
      </c>
    </row>
    <row r="25" spans="7:8" x14ac:dyDescent="0.3">
      <c r="G25" s="19" t="s">
        <v>157</v>
      </c>
      <c r="H25" s="12">
        <v>0</v>
      </c>
    </row>
    <row r="26" spans="7:8" x14ac:dyDescent="0.3">
      <c r="G26" s="19" t="s">
        <v>249</v>
      </c>
      <c r="H26" s="12">
        <v>-1.8181818181818181</v>
      </c>
    </row>
    <row r="27" spans="7:8" x14ac:dyDescent="0.3">
      <c r="G27" s="19" t="s">
        <v>282</v>
      </c>
      <c r="H27" s="12">
        <v>125.74691975537095</v>
      </c>
    </row>
  </sheetData>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B5F24-BE5C-4788-8E43-B31D70B68D1D}">
  <dimension ref="A1:U13"/>
  <sheetViews>
    <sheetView topLeftCell="C1" zoomScaleNormal="100" workbookViewId="0">
      <selection activeCell="U7" sqref="U7"/>
    </sheetView>
  </sheetViews>
  <sheetFormatPr defaultRowHeight="14.4" x14ac:dyDescent="0.3"/>
  <cols>
    <col min="1" max="1" width="19.77734375" bestFit="1" customWidth="1"/>
    <col min="2" max="2" width="15.5546875" bestFit="1" customWidth="1"/>
    <col min="3" max="3" width="8.88671875" bestFit="1" customWidth="1"/>
    <col min="4" max="4" width="8.5546875" bestFit="1" customWidth="1"/>
    <col min="7" max="7" width="10.5546875" bestFit="1" customWidth="1"/>
    <col min="13" max="13" width="19.77734375" bestFit="1" customWidth="1"/>
    <col min="14" max="14" width="15.5546875" bestFit="1" customWidth="1"/>
    <col min="15" max="15" width="10.5546875" bestFit="1" customWidth="1"/>
    <col min="16" max="16" width="8.5546875" bestFit="1" customWidth="1"/>
    <col min="17" max="18" width="8.21875" bestFit="1" customWidth="1"/>
    <col min="19" max="19" width="10.5546875" bestFit="1" customWidth="1"/>
    <col min="20" max="20" width="12.21875" bestFit="1" customWidth="1"/>
  </cols>
  <sheetData>
    <row r="1" spans="1:21" x14ac:dyDescent="0.3">
      <c r="A1" s="18" t="s">
        <v>258</v>
      </c>
      <c r="B1" t="s">
        <v>286</v>
      </c>
    </row>
    <row r="3" spans="1:21" x14ac:dyDescent="0.3">
      <c r="A3" s="18" t="s">
        <v>283</v>
      </c>
      <c r="B3" s="18" t="s">
        <v>285</v>
      </c>
      <c r="M3" s="18" t="s">
        <v>283</v>
      </c>
      <c r="N3" s="18" t="s">
        <v>285</v>
      </c>
    </row>
    <row r="4" spans="1:21" x14ac:dyDescent="0.3">
      <c r="A4" s="18" t="s">
        <v>4</v>
      </c>
      <c r="B4" t="s">
        <v>274</v>
      </c>
      <c r="C4" t="s">
        <v>196</v>
      </c>
      <c r="D4" t="s">
        <v>201</v>
      </c>
      <c r="E4" t="s">
        <v>194</v>
      </c>
      <c r="F4" t="s">
        <v>195</v>
      </c>
      <c r="G4" t="s">
        <v>282</v>
      </c>
      <c r="M4" s="18" t="s">
        <v>287</v>
      </c>
      <c r="N4" t="s">
        <v>194</v>
      </c>
      <c r="O4" t="s">
        <v>282</v>
      </c>
    </row>
    <row r="5" spans="1:21" x14ac:dyDescent="0.3">
      <c r="A5" s="19" t="s">
        <v>250</v>
      </c>
      <c r="B5" s="12"/>
      <c r="C5" s="12">
        <v>8700</v>
      </c>
      <c r="D5" s="12">
        <v>2900</v>
      </c>
      <c r="E5" s="12">
        <v>9700</v>
      </c>
      <c r="F5" s="12"/>
      <c r="G5" s="12">
        <v>21300</v>
      </c>
      <c r="M5" s="19" t="s">
        <v>213</v>
      </c>
      <c r="N5" s="20">
        <v>18891</v>
      </c>
      <c r="O5" s="20">
        <v>18891</v>
      </c>
      <c r="T5" s="6">
        <f>GETPIVOTDATA("Clean_Revenue",$M$3,"Clean_SalesRep","Fadi Karnib")</f>
        <v>18891</v>
      </c>
      <c r="U5" t="str">
        <f>M5</f>
        <v>Fadi Karnib</v>
      </c>
    </row>
    <row r="6" spans="1:21" x14ac:dyDescent="0.3">
      <c r="A6" s="19" t="s">
        <v>159</v>
      </c>
      <c r="B6" s="12"/>
      <c r="C6" s="12">
        <v>330</v>
      </c>
      <c r="D6" s="12"/>
      <c r="E6" s="12">
        <v>990</v>
      </c>
      <c r="F6" s="12">
        <v>14520</v>
      </c>
      <c r="G6" s="12">
        <v>15840</v>
      </c>
      <c r="M6" s="19" t="s">
        <v>215</v>
      </c>
      <c r="N6" s="20">
        <v>4341</v>
      </c>
      <c r="O6" s="20">
        <v>4341</v>
      </c>
      <c r="T6" s="6" t="e">
        <f>GETPIVOTDATA("Clean_Revenue",$M$3,"Clean_SalesRep","Dimitri Ksara")</f>
        <v>#REF!</v>
      </c>
      <c r="U6" t="str">
        <f>M6</f>
        <v>Rabih Nounani</v>
      </c>
    </row>
    <row r="7" spans="1:21" x14ac:dyDescent="0.3">
      <c r="A7" s="19" t="s">
        <v>152</v>
      </c>
      <c r="B7" s="12"/>
      <c r="C7" s="12">
        <v>8640</v>
      </c>
      <c r="D7" s="12"/>
      <c r="E7" s="12"/>
      <c r="F7" s="12">
        <v>2800</v>
      </c>
      <c r="G7" s="12">
        <v>11440</v>
      </c>
      <c r="M7" s="19" t="s">
        <v>212</v>
      </c>
      <c r="N7" s="20">
        <v>210</v>
      </c>
      <c r="O7" s="20">
        <v>210</v>
      </c>
    </row>
    <row r="8" spans="1:21" x14ac:dyDescent="0.3">
      <c r="A8" s="19" t="s">
        <v>264</v>
      </c>
      <c r="B8" s="12">
        <v>140</v>
      </c>
      <c r="C8" s="12">
        <v>9800</v>
      </c>
      <c r="D8" s="12"/>
      <c r="E8" s="12"/>
      <c r="F8" s="12"/>
      <c r="G8" s="12">
        <v>9940</v>
      </c>
      <c r="M8" s="19" t="s">
        <v>207</v>
      </c>
      <c r="N8" s="20">
        <v>-3358</v>
      </c>
      <c r="O8" s="20">
        <v>-3358</v>
      </c>
    </row>
    <row r="9" spans="1:21" x14ac:dyDescent="0.3">
      <c r="A9" s="19" t="s">
        <v>266</v>
      </c>
      <c r="B9" s="12"/>
      <c r="C9" s="12"/>
      <c r="D9" s="12"/>
      <c r="E9" s="12"/>
      <c r="F9" s="12">
        <v>7300</v>
      </c>
      <c r="G9" s="12">
        <v>7300</v>
      </c>
      <c r="M9" s="19" t="s">
        <v>282</v>
      </c>
      <c r="N9" s="20">
        <v>20084</v>
      </c>
      <c r="O9" s="20">
        <v>20084</v>
      </c>
    </row>
    <row r="10" spans="1:21" x14ac:dyDescent="0.3">
      <c r="A10" s="19" t="s">
        <v>282</v>
      </c>
      <c r="B10" s="12">
        <v>140</v>
      </c>
      <c r="C10" s="12">
        <v>27470</v>
      </c>
      <c r="D10" s="12">
        <v>2900</v>
      </c>
      <c r="E10" s="12">
        <v>10690</v>
      </c>
      <c r="F10" s="12">
        <v>24620</v>
      </c>
      <c r="G10" s="12">
        <v>65820</v>
      </c>
    </row>
    <row r="13" spans="1:21" x14ac:dyDescent="0.3">
      <c r="S13" s="12">
        <f>GETPIVOTDATA("Clean_Revenue",$M$3)</f>
        <v>20084</v>
      </c>
    </row>
  </sheetData>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56D0-AA6A-4070-BC29-4FB5A366F6B0}">
  <sheetPr>
    <pageSetUpPr fitToPage="1"/>
  </sheetPr>
  <dimension ref="A1:E1"/>
  <sheetViews>
    <sheetView showGridLines="0" zoomScale="60" zoomScaleNormal="60" workbookViewId="0">
      <selection activeCell="AG23" sqref="AG23"/>
    </sheetView>
  </sheetViews>
  <sheetFormatPr defaultRowHeight="14.4" x14ac:dyDescent="0.3"/>
  <cols>
    <col min="11" max="11" width="19.77734375" customWidth="1"/>
  </cols>
  <sheetData>
    <row r="1" spans="1:5" ht="36.6" x14ac:dyDescent="0.3">
      <c r="A1" s="21" t="s">
        <v>288</v>
      </c>
      <c r="B1" s="21"/>
      <c r="C1" s="21"/>
      <c r="D1" s="21"/>
      <c r="E1" s="21"/>
    </row>
  </sheetData>
  <mergeCells count="1">
    <mergeCell ref="A1:E1"/>
  </mergeCells>
  <pageMargins left="0.7" right="0.7" top="0.75" bottom="0.75" header="0.3" footer="0.3"/>
  <pageSetup scale="33"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Pivot_Table1</vt:lpstr>
      <vt:lpstr>Pivot_Table2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Elie Zeraoui</dc:creator>
  <cp:lastModifiedBy>Elie Zeraoui</cp:lastModifiedBy>
  <cp:lastPrinted>2026-04-28T11:32:19Z</cp:lastPrinted>
  <dcterms:created xsi:type="dcterms:W3CDTF">2026-04-24T11:13:47Z</dcterms:created>
  <dcterms:modified xsi:type="dcterms:W3CDTF">2026-04-28T12:00:09Z</dcterms:modified>
</cp:coreProperties>
</file>